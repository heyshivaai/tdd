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namedSheetViews/namedSheetView1.xml" ContentType="application/vnd.ms-excel.namedsheetviews+xml"/>
  <Override PartName="/xl/drawings/drawing2.xml" ContentType="application/vnd.openxmlformats-officedocument.drawing+xml"/>
  <Override PartName="/xl/drawings/drawing3.xml" ContentType="application/vnd.openxmlformats-officedocument.drawing+xml"/>
  <Override PartName="/xl/namedSheetViews/namedSheetView2.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namedSheetViews/namedSheetView3.xml" ContentType="application/vnd.ms-excel.namedsheetviews+xml"/>
  <Override PartName="/xl/drawings/drawing6.xml" ContentType="application/vnd.openxmlformats-officedocument.drawing+xml"/>
  <Override PartName="/xl/namedSheetViews/namedSheetView4.xml" ContentType="application/vnd.ms-excel.namedsheetviews+xml"/>
  <Override PartName="/xl/drawings/drawing7.xml" ContentType="application/vnd.openxmlformats-officedocument.drawing+xml"/>
  <Override PartName="/xl/namedSheetViews/namedSheetView5.xml" ContentType="application/vnd.ms-excel.namedsheetviews+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S:\H\HST Pathways\2025\Project HORIZON\10. Diligence\3. Buyer Diligence Trackers\Novo\_Sent TO Novo\3.27\"/>
    </mc:Choice>
  </mc:AlternateContent>
  <xr:revisionPtr revIDLastSave="0" documentId="14_{AAD5BDE0-8F71-44AC-AC12-971CC843E454}" xr6:coauthVersionLast="47" xr6:coauthVersionMax="47" xr10:uidLastSave="{00000000-0000-0000-0000-000000000000}"/>
  <bookViews>
    <workbookView xWindow="60" yWindow="20" windowWidth="19230" windowHeight="11060" xr2:uid="{555AC822-F0DE-42B9-B164-CE2CE1D78E5B}"/>
  </bookViews>
  <sheets>
    <sheet name="Cover" sheetId="2" r:id="rId1"/>
    <sheet name="Business (Novo)" sheetId="13" r:id="rId2"/>
    <sheet name="Legal (Linklaters - Novo)" sheetId="15" r:id="rId3"/>
    <sheet name="Legal (WSGR - Novo)" sheetId="16" r:id="rId4"/>
    <sheet name="Insurance (Lockton - Novo)" sheetId="17" r:id="rId5"/>
    <sheet name="Benefits (Lockton - Novo)" sheetId="18" r:id="rId6"/>
    <sheet name="Financial (A&amp;M)" sheetId="30" r:id="rId7"/>
    <sheet name="Technology (Crosslake - Novo)" sheetId="22" r:id="rId8"/>
    <sheet name="Tax (A&amp;M)" sheetId="31" r:id="rId9"/>
    <sheet name="Avalara Detail (Tax 25)" sheetId="34" r:id="rId10"/>
    <sheet name="Commercial (PwC - Novo)" sheetId="26" r:id="rId11"/>
    <sheet name="Operational (A&amp;M)" sheetId="32" r:id="rId12"/>
    <sheet name="Legal (Goodwin)" sheetId="33" r:id="rId13"/>
    <sheet name="Management to Populate &gt;&gt;" sheetId="20" r:id="rId14"/>
    <sheet name="Benefit Census Sheet (Lockton)" sheetId="19" r:id="rId15"/>
    <sheet name="CARR by Customer Tenure (DNE)" sheetId="21" r:id="rId16"/>
    <sheet name="Software Development &amp; Tools" sheetId="23" r:id="rId17"/>
    <sheet name="Systems Security and Infra" sheetId="25" r:id="rId18"/>
    <sheet name="R&amp;D Spend (DNE)" sheetId="24" r:id="rId19"/>
    <sheet name="Product Wise Breakdown" sheetId="36" r:id="rId20"/>
    <sheet name="Annual bonus" sheetId="37" r:id="rId21"/>
  </sheets>
  <definedNames>
    <definedName name="__123Graph_D" hidden="1">#REF!</definedName>
    <definedName name="__FDS_HYPERLINK_TOGGLE_STATE__" hidden="1">"ON"</definedName>
    <definedName name="__key1" hidden="1">#REF!</definedName>
    <definedName name="__na2" hidden="1">"100"</definedName>
    <definedName name="__na3" hidden="1">"50"</definedName>
    <definedName name="__na4" hidden="1">"IQ_LTM_DATE"</definedName>
    <definedName name="_Fill" hidden="1">#REF!</definedName>
    <definedName name="_xlnm._FilterDatabase" localSheetId="5" hidden="1">'Benefits (Lockton - Novo)'!$B$9:$L$9</definedName>
    <definedName name="_xlnm._FilterDatabase" localSheetId="1" hidden="1">'Business (Novo)'!$B$9:$L$21</definedName>
    <definedName name="_xlnm._FilterDatabase" localSheetId="10" hidden="1">'Commercial (PwC - Novo)'!$B$9:$L$9</definedName>
    <definedName name="_xlnm._FilterDatabase" localSheetId="6" hidden="1">'Financial (A&amp;M)'!$B$9:$L$9</definedName>
    <definedName name="_xlnm._FilterDatabase" localSheetId="4" hidden="1">'Insurance (Lockton - Novo)'!$B$9:$L$9</definedName>
    <definedName name="_xlnm._FilterDatabase" localSheetId="12" hidden="1">'Legal (Goodwin)'!$B$9:$L$9</definedName>
    <definedName name="_xlnm._FilterDatabase" localSheetId="2" hidden="1">'Legal (Linklaters - Novo)'!$B$9:$L$9</definedName>
    <definedName name="_xlnm._FilterDatabase" localSheetId="3" hidden="1">'Legal (WSGR - Novo)'!$B$9:$L$9</definedName>
    <definedName name="_xlnm._FilterDatabase" localSheetId="11" hidden="1">'Operational (A&amp;M)'!$B$9:$L$41</definedName>
    <definedName name="_xlnm._FilterDatabase" localSheetId="8" hidden="1">'Tax (A&amp;M)'!$B$9:$L$9</definedName>
    <definedName name="_xlnm._FilterDatabase" localSheetId="7" hidden="1">'Technology (Crosslake - Novo)'!$B$9:$L$9</definedName>
    <definedName name="_Key1" hidden="1">#REF!</definedName>
    <definedName name="_Key1000" hidden="1">#REF!</definedName>
    <definedName name="_Key2" hidden="1">#REF!</definedName>
    <definedName name="_na2" hidden="1">"100"</definedName>
    <definedName name="_na3" hidden="1">"50"</definedName>
    <definedName name="_na4" hidden="1">"IQ_LTM_DATE"</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Out" hidden="1">#REF!</definedName>
    <definedName name="_undoSheet0" hidden="1">#REF!</definedName>
    <definedName name="abc" localSheetId="20" hidden="1">{"'debtors'!$A$1:$I$305","'debtors'!$A$1:$J$285"}</definedName>
    <definedName name="abc" localSheetId="19" hidden="1">{"'debtors'!$A$1:$I$305","'debtors'!$A$1:$J$285"}</definedName>
    <definedName name="abc" localSheetId="18" hidden="1">{"'debtors'!$A$1:$I$305","'debtors'!$A$1:$J$285"}</definedName>
    <definedName name="abc" localSheetId="16" hidden="1">{"'debtors'!$A$1:$I$305","'debtors'!$A$1:$J$285"}</definedName>
    <definedName name="abc" localSheetId="17" hidden="1">{"'debtors'!$A$1:$I$305","'debtors'!$A$1:$J$285"}</definedName>
    <definedName name="abc" hidden="1">{"'debtors'!$A$1:$I$305","'debtors'!$A$1:$J$285"}</definedName>
    <definedName name="adfadf" localSheetId="20" hidden="1">{"'Sheet1'!$A$1:$J$121"}</definedName>
    <definedName name="adfadf" localSheetId="19" hidden="1">{"'Sheet1'!$A$1:$J$121"}</definedName>
    <definedName name="adfadf" localSheetId="18" hidden="1">{"'Sheet1'!$A$1:$J$121"}</definedName>
    <definedName name="adfadf" localSheetId="16" hidden="1">{"'Sheet1'!$A$1:$J$121"}</definedName>
    <definedName name="adfadf" localSheetId="17" hidden="1">{"'Sheet1'!$A$1:$J$121"}</definedName>
    <definedName name="adfadf" hidden="1">{"'Sheet1'!$A$1:$J$121"}</definedName>
    <definedName name="as" localSheetId="20" hidden="1">{"FCB_ALL",#N/A,FALSE,"FCB"}</definedName>
    <definedName name="as" localSheetId="19" hidden="1">{"FCB_ALL",#N/A,FALSE,"FCB"}</definedName>
    <definedName name="as" localSheetId="18" hidden="1">{"FCB_ALL",#N/A,FALSE,"FCB"}</definedName>
    <definedName name="as" localSheetId="16" hidden="1">{"FCB_ALL",#N/A,FALSE,"FCB"}</definedName>
    <definedName name="as" localSheetId="17" hidden="1">{"FCB_ALL",#N/A,FALSE,"FCB"}</definedName>
    <definedName name="as" hidden="1">{"FCB_ALL",#N/A,FALSE,"FCB"}</definedName>
    <definedName name="AS2DocOpenMode" hidden="1">"AS2DocumentEdit"</definedName>
    <definedName name="asdf22" hidden="1">#REF!</definedName>
    <definedName name="asdf23" hidden="1">#REF!</definedName>
    <definedName name="asdf336" hidden="1">#REF!</definedName>
    <definedName name="asdf34" hidden="1">#REF!</definedName>
    <definedName name="asdf44" hidden="1">#REF!</definedName>
    <definedName name="asdf654234" hidden="1">41747.4205671296</definedName>
    <definedName name="asdfadsf" localSheetId="20" hidden="1">{"'Sheet1'!$A$1:$J$121"}</definedName>
    <definedName name="asdfadsf" localSheetId="19" hidden="1">{"'Sheet1'!$A$1:$J$121"}</definedName>
    <definedName name="asdfadsf" localSheetId="18" hidden="1">{"'Sheet1'!$A$1:$J$121"}</definedName>
    <definedName name="asdfadsf" localSheetId="16" hidden="1">{"'Sheet1'!$A$1:$J$121"}</definedName>
    <definedName name="asdfadsf" localSheetId="17" hidden="1">{"'Sheet1'!$A$1:$J$121"}</definedName>
    <definedName name="asdfadsf" hidden="1">{"'Sheet1'!$A$1:$J$121"}</definedName>
    <definedName name="asdfasf" hidden="1">38939.6653819444</definedName>
    <definedName name="asfasdf" hidden="1">#REF!</definedName>
    <definedName name="bbb" hidden="1">#REF!</definedName>
    <definedName name="bcd" localSheetId="20" hidden="1">{"'debtors'!$A$1:$I$305","'debtors'!$A$1:$J$285"}</definedName>
    <definedName name="bcd" localSheetId="19" hidden="1">{"'debtors'!$A$1:$I$305","'debtors'!$A$1:$J$285"}</definedName>
    <definedName name="bcd" localSheetId="18" hidden="1">{"'debtors'!$A$1:$I$305","'debtors'!$A$1:$J$285"}</definedName>
    <definedName name="bcd" localSheetId="16" hidden="1">{"'debtors'!$A$1:$I$305","'debtors'!$A$1:$J$285"}</definedName>
    <definedName name="bcd" localSheetId="17" hidden="1">{"'debtors'!$A$1:$I$305","'debtors'!$A$1:$J$285"}</definedName>
    <definedName name="bcd" hidden="1">{"'debtors'!$A$1:$I$305","'debtors'!$A$1:$J$285"}</definedName>
    <definedName name="BLPH1" hidden="1">#REF!</definedName>
    <definedName name="BLPH2" hidden="1">#REF!</definedName>
    <definedName name="BLPH3" hidden="1">#REF!</definedName>
    <definedName name="BLPH4" hidden="1">#REF!</definedName>
    <definedName name="BOD_BS" localSheetId="20" hidden="1">{"'debtors'!$A$1:$I$305","'debtors'!$A$1:$J$285"}</definedName>
    <definedName name="BOD_BS" localSheetId="19" hidden="1">{"'debtors'!$A$1:$I$305","'debtors'!$A$1:$J$285"}</definedName>
    <definedName name="BOD_BS" localSheetId="18" hidden="1">{"'debtors'!$A$1:$I$305","'debtors'!$A$1:$J$285"}</definedName>
    <definedName name="BOD_BS" localSheetId="16" hidden="1">{"'debtors'!$A$1:$I$305","'debtors'!$A$1:$J$285"}</definedName>
    <definedName name="BOD_BS" localSheetId="17" hidden="1">{"'debtors'!$A$1:$I$305","'debtors'!$A$1:$J$285"}</definedName>
    <definedName name="BOD_BS" hidden="1">{"'debtors'!$A$1:$I$305","'debtors'!$A$1:$J$285"}</definedName>
    <definedName name="boolaboola" hidden="1">#REF!</definedName>
    <definedName name="ChangeRange" hidden="1">#REF!</definedName>
    <definedName name="CIQWBGuid" localSheetId="19" hidden="1">"933d183d-4813-4518-b486-bd40ecdaf69b"</definedName>
    <definedName name="CIQWBGuid" hidden="1">"4e9303c3-396a-4f77-924d-7a9df3919486"</definedName>
    <definedName name="CIQWBGuid_1" hidden="1">"fb1cfeb4-1712-4812-8186-2d2e951af60b"</definedName>
    <definedName name="CIQWBInfo" hidden="1">"{ ""CIQVersion"":""9.47.1108.4092"" }"</definedName>
    <definedName name="ContentsHelp" hidden="1">#REF!</definedName>
    <definedName name="CreateTable" hidden="1">#REF!</definedName>
    <definedName name="Cwvu.GREY_ALL." hidden="1">#REF!</definedName>
    <definedName name="d" hidden="1">40917.5646990741</definedName>
    <definedName name="ddde" hidden="1">#REF!</definedName>
    <definedName name="DeleteRange" hidden="1">#REF!</definedName>
    <definedName name="DeleteTable" hidden="1">#REF!</definedName>
    <definedName name="dfasdf" hidden="1">#REF!</definedName>
    <definedName name="dfd" localSheetId="20" hidden="1">{"FCB_ALL",#N/A,FALSE,"FCB";"GREY_ALL",#N/A,FALSE,"GREY"}</definedName>
    <definedName name="dfd" localSheetId="19" hidden="1">{"FCB_ALL",#N/A,FALSE,"FCB";"GREY_ALL",#N/A,FALSE,"GREY"}</definedName>
    <definedName name="dfd" localSheetId="18" hidden="1">{"FCB_ALL",#N/A,FALSE,"FCB";"GREY_ALL",#N/A,FALSE,"GREY"}</definedName>
    <definedName name="dfd" localSheetId="16" hidden="1">{"FCB_ALL",#N/A,FALSE,"FCB";"GREY_ALL",#N/A,FALSE,"GREY"}</definedName>
    <definedName name="dfd" localSheetId="17" hidden="1">{"FCB_ALL",#N/A,FALSE,"FCB";"GREY_ALL",#N/A,FALSE,"GREY"}</definedName>
    <definedName name="dfd" hidden="1">{"FCB_ALL",#N/A,FALSE,"FCB";"GREY_ALL",#N/A,FALSE,"GREY"}</definedName>
    <definedName name="dfdas" localSheetId="20" hidden="1">{"FCB_ALL",#N/A,FALSE,"FCB";"GREY_ALL",#N/A,FALSE,"GREY"}</definedName>
    <definedName name="dfdas" localSheetId="19" hidden="1">{"FCB_ALL",#N/A,FALSE,"FCB";"GREY_ALL",#N/A,FALSE,"GREY"}</definedName>
    <definedName name="dfdas" localSheetId="18" hidden="1">{"FCB_ALL",#N/A,FALSE,"FCB";"GREY_ALL",#N/A,FALSE,"GREY"}</definedName>
    <definedName name="dfdas" localSheetId="16" hidden="1">{"FCB_ALL",#N/A,FALSE,"FCB";"GREY_ALL",#N/A,FALSE,"GREY"}</definedName>
    <definedName name="dfdas" localSheetId="17" hidden="1">{"FCB_ALL",#N/A,FALSE,"FCB";"GREY_ALL",#N/A,FALSE,"GREY"}</definedName>
    <definedName name="dfdas" hidden="1">{"FCB_ALL",#N/A,FALSE,"FCB";"GREY_ALL",#N/A,FALSE,"GREY"}</definedName>
    <definedName name="dfdfd" localSheetId="20" hidden="1">{"FCB_ALL",#N/A,FALSE,"FCB";"GREY_ALL",#N/A,FALSE,"GREY"}</definedName>
    <definedName name="dfdfd" localSheetId="19" hidden="1">{"FCB_ALL",#N/A,FALSE,"FCB";"GREY_ALL",#N/A,FALSE,"GREY"}</definedName>
    <definedName name="dfdfd" localSheetId="18" hidden="1">{"FCB_ALL",#N/A,FALSE,"FCB";"GREY_ALL",#N/A,FALSE,"GREY"}</definedName>
    <definedName name="dfdfd" localSheetId="16" hidden="1">{"FCB_ALL",#N/A,FALSE,"FCB";"GREY_ALL",#N/A,FALSE,"GREY"}</definedName>
    <definedName name="dfdfd" localSheetId="17" hidden="1">{"FCB_ALL",#N/A,FALSE,"FCB";"GREY_ALL",#N/A,FALSE,"GREY"}</definedName>
    <definedName name="dfdfd" hidden="1">{"FCB_ALL",#N/A,FALSE,"FCB";"GREY_ALL",#N/A,FALSE,"GREY"}</definedName>
    <definedName name="dfdfdfd" localSheetId="20" hidden="1">{"FCB_ALL",#N/A,FALSE,"FCB"}</definedName>
    <definedName name="dfdfdfd" localSheetId="19" hidden="1">{"FCB_ALL",#N/A,FALSE,"FCB"}</definedName>
    <definedName name="dfdfdfd" localSheetId="18" hidden="1">{"FCB_ALL",#N/A,FALSE,"FCB"}</definedName>
    <definedName name="dfdfdfd" localSheetId="16" hidden="1">{"FCB_ALL",#N/A,FALSE,"FCB"}</definedName>
    <definedName name="dfdfdfd" localSheetId="17" hidden="1">{"FCB_ALL",#N/A,FALSE,"FCB"}</definedName>
    <definedName name="dfdfdfd" hidden="1">{"FCB_ALL",#N/A,FALSE,"FCB"}</definedName>
    <definedName name="eferferfge" localSheetId="2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19"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18"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16"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localSheetId="17"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g" localSheetId="20" hidden="1">{"'debtors'!$A$1:$I$305","'debtors'!$A$1:$J$285"}</definedName>
    <definedName name="efg" localSheetId="19" hidden="1">{"'debtors'!$A$1:$I$305","'debtors'!$A$1:$J$285"}</definedName>
    <definedName name="efg" localSheetId="18" hidden="1">{"'debtors'!$A$1:$I$305","'debtors'!$A$1:$J$285"}</definedName>
    <definedName name="efg" localSheetId="16" hidden="1">{"'debtors'!$A$1:$I$305","'debtors'!$A$1:$J$285"}</definedName>
    <definedName name="efg" localSheetId="17" hidden="1">{"'debtors'!$A$1:$I$305","'debtors'!$A$1:$J$285"}</definedName>
    <definedName name="efg" hidden="1">{"'debtors'!$A$1:$I$305","'debtors'!$A$1:$J$285"}</definedName>
    <definedName name="ENG_BI_EXE_NAME" hidden="1">"BICORE.EXE"</definedName>
    <definedName name="ENG_BI_EXEC_CMD_ARGS" hidden="1">"03304607811510311611111604104507305405005205304905905405006205604904804104607512808407308306508709309507108406907006508307308512513207506708409808107006605312912809512112310512210211710207206608707408209507608306109206607207405005205405013413209511611"</definedName>
    <definedName name="ENG_BI_EXEC_CMD_ARGS_10" hidden="1">"061038054049050052050053053048057061035032056063033015060051089097124116062014065048070114118109119111119116102110125063126128079086073069091078068084070083066081083065054125"</definedName>
    <definedName name="ENG_BI_EXEC_CMD_ARGS_2" hidden="1">"91061191011161050730660760720850650850800720661091011200530570570951011171131261270951161191051271041171010770670860880690860661151081201111111301240961161171021131051080830660780800680800730690651061101341320951161220991091090990710840770890720790890"</definedName>
    <definedName name="ENG_BI_EXEC_CMD_ARGS_3" hidden="1">"87066078074061087116117125113101101120117102118110036085097125111112108120104122037065119120111108134123099117118099112105103072085091089070078076090062090083072130123104121117102113106100074073082094069074089084084074083085073065088074061057058032078"</definedName>
    <definedName name="ENG_BI_EXEC_CMD_ARGS_4" hidden="1">"10211111810111412503705005705605512513209611312209811211009907908207809307406608307307807207306509307606205105803306910609910511409811012303205405305005512912309911711710711510609907907407909406906908706908707706105405305005512912309911711710711510609"</definedName>
    <definedName name="ENG_BI_EXEC_CMD_ARGS_5" hidden="1">"90790740790940690690870830930740820880660510490530541291280951211240991081141000680900820860820790870930720730830690690690840730660510580390800991251120991061140360550480580631251271001131181021081091040670940890830770880790850770830880700820930770650"</definedName>
    <definedName name="ENG_BI_EXEC_CMD_ARGS_6" hidden="1">"88074062049053032083104116120105102114041051049054054129128095121123105122102117102081065087072079086084066078077085070093084065065069119127105118116111110105110120067010069090102115124106112115062014065085124110114066015061086119101118078068041093098"</definedName>
    <definedName name="ENG_BI_EXEC_CMD_ARGS_7" hidden="1">"10812610206203911510311611111604304706601506107011409911812611212508709811512412011211910003609109711712610106503908511512110103805206201906708109712411612011611410403708610611711710506603508009211612609205108212108804908707209107006106503904707101906"</definedName>
    <definedName name="ENG_BI_EXEC_CMD_ARGS_8" hidden="1">"00881191181161201011040721111191171020991251061121150320901021081261100610380750981091191010380370470710170610470941161021190620140650830900850831051191191021180781011141010410930981081261020620390830690760690590570490540390330480660100640730660871041"</definedName>
    <definedName name="ENG_BI_EXEC_CMD_ARGS_9" hidden="1">"10101041087098113117105066034118106115057053049096101112116039032056069033010069068112114112101115121082077032090102109118105061038088069089041033047071033011065047087106115124114111114067011061088097119112062019067085097124108074073032090102108126110"</definedName>
    <definedName name="ENG_BI_GEN_LIC" hidden="1">"0"</definedName>
    <definedName name="ENG_BI_GEN_LIC_WS" hidden="1">"True"</definedName>
    <definedName name="ENG_BI_LBI" hidden="1">"QNGTNHQXLL"</definedName>
    <definedName name="ENG_BI_PROFILE_PATH" hidden="1">"C:\ProgramData\Alchemex\AlchemexSmartReporting\MetaData\MAS\Report Designer Add-In S500 Demo 1-0-2\BICORE_profiler_20130111_145418.csv"</definedName>
    <definedName name="ENG_BI_REPOS_FILE" hidden="1">"\\Citrix2014\SMI\alchemex.svd"</definedName>
    <definedName name="ENG_BI_REPOS_PATH" hidden="1">"\\Citrix2014\SMI"</definedName>
    <definedName name="ENG_BI_TLA" hidden="1">"247;238;96;159;175;5;185;223;252;233;28;133;261;29;122;122;122;176;59;28;226;92;133;40;243;123;118;160;275;91;201;108"</definedName>
    <definedName name="ExactAddinConnection" hidden="1">"001"</definedName>
    <definedName name="ExactAddinConnection.001" hidden="1">"MARGE;001;jdarnell;0"</definedName>
    <definedName name="ExactAddinConnection.002" hidden="1">"MARGE;002;jdarnell;0"</definedName>
    <definedName name="ExactAddinConnection.010" hidden="1">"MARGE;010;jdarnell;0"</definedName>
    <definedName name="ExactAddinConnection.020" hidden="1">"MARGE;020;jdarnell;0"</definedName>
    <definedName name="ExactAddinConnection.034" hidden="1">"MARGE;034;jdarnell;0"</definedName>
    <definedName name="ExactAddinConnection.050" hidden="1">"MARGE;050;jdarnell;0"</definedName>
    <definedName name="ExactAddinReports" hidden="1">1</definedName>
    <definedName name="h" hidden="1">#REF!</definedName>
    <definedName name="html" localSheetId="20" hidden="1">{"'debtors'!$A$1:$I$305","'debtors'!$A$1:$J$285"}</definedName>
    <definedName name="html" localSheetId="19" hidden="1">{"'debtors'!$A$1:$I$305","'debtors'!$A$1:$J$285"}</definedName>
    <definedName name="html" localSheetId="18" hidden="1">{"'debtors'!$A$1:$I$305","'debtors'!$A$1:$J$285"}</definedName>
    <definedName name="html" localSheetId="16" hidden="1">{"'debtors'!$A$1:$I$305","'debtors'!$A$1:$J$285"}</definedName>
    <definedName name="html" localSheetId="17" hidden="1">{"'debtors'!$A$1:$I$305","'debtors'!$A$1:$J$285"}</definedName>
    <definedName name="html" hidden="1">{"'debtors'!$A$1:$I$305","'debtors'!$A$1:$J$285"}</definedName>
    <definedName name="HTML_CodePage" hidden="1">1252</definedName>
    <definedName name="HTML_Control" localSheetId="20" hidden="1">{"'Sheet1'!$A$1:$J$121"}</definedName>
    <definedName name="HTML_Control" localSheetId="19" hidden="1">{"'Sheet1'!$A$1:$J$121"}</definedName>
    <definedName name="HTML_Control" localSheetId="18" hidden="1">{"'Sheet1'!$A$1:$J$121"}</definedName>
    <definedName name="HTML_Control" localSheetId="16" hidden="1">{"'Sheet1'!$A$1:$J$121"}</definedName>
    <definedName name="HTML_Control" localSheetId="17" hidden="1">{"'Sheet1'!$A$1:$J$121"}</definedName>
    <definedName name="HTML_Control" hidden="1">{"'Sheet1'!$A$1:$J$121"}</definedName>
    <definedName name="HTML_Description" hidden="1">""</definedName>
    <definedName name="HTML_Email" hidden="1">""</definedName>
    <definedName name="HTML_Header" hidden="1">"Sheet1"</definedName>
    <definedName name="HTML_LastUpdate" hidden="1">"10/21/99"</definedName>
    <definedName name="HTML_LineAfter" hidden="1">FALSE</definedName>
    <definedName name="HTML_LineBefore" hidden="1">FALSE</definedName>
    <definedName name="HTML_Name" hidden="1">"Paulette Peoples"</definedName>
    <definedName name="HTML_OBDlg2" hidden="1">TRUE</definedName>
    <definedName name="HTML_OBDlg4" hidden="1">TRUE</definedName>
    <definedName name="HTML_OS" hidden="1">0</definedName>
    <definedName name="HTML_PathFile" hidden="1">"\\Bhincres01\groups\Mkt_Dev\EXECMKTR\RIGS\RigBible\Web NA.htm"</definedName>
    <definedName name="HTML_Title" hidden="1">"Total North America"</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"Copy of Copy 9. Consolidated Financials_03.21.16_20161026_20_04_36_044.xls"</definedName>
    <definedName name="INFO_REPORT_CODE" hidden="1">"S500-AI01-1-1"</definedName>
    <definedName name="INFO_REPORT_ID" hidden="1">"9"</definedName>
    <definedName name="INFO_REPORT_NAME" hidden="1">"Copy of Copy 9. Consolidated Financials_03.21.16"</definedName>
    <definedName name="INFO_RUN_USER" hidden="1">""</definedName>
    <definedName name="INFO_RUN_WORKSTATION" hidden="1">"CITRIX2014"</definedName>
    <definedName name="Interest" localSheetId="20" hidden="1">{"'debtors'!$A$1:$I$305","'debtors'!$A$1:$J$285"}</definedName>
    <definedName name="Interest" localSheetId="19" hidden="1">{"'debtors'!$A$1:$I$305","'debtors'!$A$1:$J$285"}</definedName>
    <definedName name="Interest" localSheetId="18" hidden="1">{"'debtors'!$A$1:$I$305","'debtors'!$A$1:$J$285"}</definedName>
    <definedName name="Interest" localSheetId="16" hidden="1">{"'debtors'!$A$1:$I$305","'debtors'!$A$1:$J$285"}</definedName>
    <definedName name="Interest" localSheetId="17" hidden="1">{"'debtors'!$A$1:$I$305","'debtors'!$A$1:$J$285"}</definedName>
    <definedName name="Interest" hidden="1">{"'debtors'!$A$1:$I$305","'debtors'!$A$1:$J$285"}</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"c39"</definedName>
    <definedName name="IQ_ADDIN" hidden="1">"AUTO"</definedName>
    <definedName name="IQ_ADDITIONAL_NON_INT_INC_FDIC" hidden="1">"c6574"</definedName>
    <definedName name="IQ_ADJUSTABLE_RATE_LOANS_FDIC" hidden="1">"c6375"</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"c1471"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FAX" hidden="1">"c2100"</definedName>
    <definedName name="IQ_BOARD_MEMBER_OFFICE" hidden="1">"c2098"</definedName>
    <definedName name="IQ_BOARD_MEMBER_PHONE" hidden="1">"c2099"</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"c100"</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IVIDENDS_NET_INCOME_FDIC" hidden="1">"c6738"</definedName>
    <definedName name="IQ_CASH_DUE_BANKS" hidden="1">"c118"</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B_OUTSTANDING_BS_DATE" hidden="1">"c1972"</definedName>
    <definedName name="IQ_CLASSB_OUTSTANDING_FILING_DATE" hidden="1">"c1974"</definedName>
    <definedName name="IQ_CLOSEPRICE" hidden="1">"c174"</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SCRIPTION_LONG" hidden="1">"c322"</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K" hidden="1">"EBIT_10K"</definedName>
    <definedName name="IQ_EBIT_10Q" hidden="1">"EBIT_10Q"</definedName>
    <definedName name="IQ_EBIT_10Q1" hidden="1">"EBIT_10Q1"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EST_REUT" hidden="1">"c5333"</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"c360"</definedName>
    <definedName name="IQ_EBIT_STDDEV_EST_REUT" hidden="1">"c5338"</definedName>
    <definedName name="IQ_EBITDA" hidden="1">"c361"</definedName>
    <definedName name="IQ_EBITDA_10K" hidden="1">"EBITDA_10K"</definedName>
    <definedName name="IQ_EBITDA_10Q" hidden="1">"EBITDA_10Q"</definedName>
    <definedName name="IQ_EBITDA_10Q1" hidden="1">"EBITDA_10Q1"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"c368"</definedName>
    <definedName name="IQ_EBITDA_EST_REUT" hidden="1">"c3640"</definedName>
    <definedName name="IQ_EBITDA_HIGH_EST_REUT" hidden="1">"c3642"</definedName>
    <definedName name="IQ_EBITDA_INT" hidden="1">"c373"</definedName>
    <definedName name="IQ_EBITDA_LOW_EST_REUT" hidden="1">"c3643"</definedName>
    <definedName name="IQ_EBITDA_MARGIN" hidden="1">"c372"</definedName>
    <definedName name="IQ_EBITDA_MEDIAN_EST_REUT" hidden="1">"c3641"</definedName>
    <definedName name="IQ_EBITDA_NUM_EST_REUT" hidden="1">"c3644"</definedName>
    <definedName name="IQ_EBITDA_OVER_TOTAL_IE" hidden="1">"c373"</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ICIENCY_RATIO" hidden="1">"c391"</definedName>
    <definedName name="IQ_EFFICIENCY_RATIO_FDIC" hidden="1">"c6736"</definedName>
    <definedName name="IQ_EMPLOYEES" hidden="1">"c392"</definedName>
    <definedName name="IQ_ENTERPRISE_VALUE" hidden="1">"c84"</definedName>
    <definedName name="IQ_EPS" hidden="1">"IQ_EPS"</definedName>
    <definedName name="IQ_EPS_10K" hidden="1">"EPS_10K"</definedName>
    <definedName name="IQ_EPS_10Q" hidden="1">"EPS_10Q"</definedName>
    <definedName name="IQ_EPS_10Q1" hidden="1">"EPS_10Q1"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EST" hidden="1">"c399"</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AFFIL" hidden="1">"c552"</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 hidden="1">"c1648"</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NAV_SHARE_REUT" hidden="1">"c5616"</definedName>
    <definedName name="IQ_EST_ACT_NET_DEBT_REUT" hidden="1">"c5446"</definedName>
    <definedName name="IQ_EST_ACT_NI_GW_REUT" hidden="1">"c5381"</definedName>
    <definedName name="IQ_EST_ACT_NI_GW_THOM" hidden="1">"c5139"</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 hidden="1">"c1636"</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URPRISE_PERCENT_REUT" hidden="1">"c3891"</definedName>
    <definedName name="IQ_EST_FOOTNOTE_REUT" hidden="1">"c5478"</definedName>
    <definedName name="IQ_EST_NI_DIFF_REUT" hidden="1">"c5423"</definedName>
    <definedName name="IQ_EST_NI_GW_DIFF_REUT" hidden="1">"c5425"</definedName>
    <definedName name="IQ_EST_NI_GW_DIFF_THOM" hidden="1">"c5200"</definedName>
    <definedName name="IQ_EST_NI_GW_SURPRISE_PERCENT_REUT" hidden="1">"c5426"</definedName>
    <definedName name="IQ_EST_NI_GW_SURPRISE_PERCENT_THOM" hidden="1">"c5201"</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UT_ACT_CAPEX" hidden="1">"c3975"</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ENSE_CODE_" hidden="1">1367</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REUT" hidden="1">"c3837"</definedName>
    <definedName name="IQ_FFO_HIGH_EST_CIQ" hidden="1">"c3670"</definedName>
    <definedName name="IQ_FFO_HIGH_EST_REUT" hidden="1">"c3839"</definedName>
    <definedName name="IQ_FFO_LOW_EST_CIQ" hidden="1">"c3671"</definedName>
    <definedName name="IQ_FFO_LOW_EST_REUT" hidden="1">"c3840"</definedName>
    <definedName name="IQ_FFO_MEDIAN_EST_CIQ" hidden="1">"c3669"</definedName>
    <definedName name="IQ_FFO_MEDIAN_EST_REUT" hidden="1">"c3838"</definedName>
    <definedName name="IQ_FFO_NUM_EST_CIQ" hidden="1">"c3672"</definedName>
    <definedName name="IQ_FFO_NUM_EST_REUT" hidden="1">"c3841"</definedName>
    <definedName name="IQ_FFO_STDDEV_EST_CIQ" hidden="1">"c3673"</definedName>
    <definedName name="IQ_FFO_STDDEV_EST_REUT" hidden="1">"c3842"</definedName>
    <definedName name="IQ_FH">100000</definedName>
    <definedName name="IQ_FHLB_ADVANCES_FDIC" hidden="1">"c6366"</definedName>
    <definedName name="IQ_FHLB_DEBT" hidden="1">"c423"</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"FY_DATE"</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AMORT_BR" hidden="1">"c532"</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"c907"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"INTEREST_INC_10K"</definedName>
    <definedName name="IQ_INTEREST_INC_10Q" hidden="1">"INTEREST_INC_10Q"</definedName>
    <definedName name="IQ_INTEREST_INC_10Q1" hidden="1">"INTEREST_INC_10Q1"</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"c751"</definedName>
    <definedName name="IQ_ISS_STOCK_NET" hidden="1">"c1601"</definedName>
    <definedName name="IQ_ISSUED_GUARANTEED_US_FDIC" hidden="1">"c6404"</definedName>
    <definedName name="IQ_LAND" hidden="1">"c645"</definedName>
    <definedName name="IQ_LASTSALEPRICE" hidden="1">"c646"</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"LTM_DATE"</definedName>
    <definedName name="IQ_LTM_REVENUE_OVER_EMPLOYEES" hidden="1">"c1304"</definedName>
    <definedName name="IQ_LTMMONTH" hidden="1">120000</definedName>
    <definedName name="IQ_MACHINERY" hidden="1">"c711"</definedName>
    <definedName name="IQ_MARKETCAP" hidden="1">"c712"</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localSheetId="14" hidden="1">42304.6681018519</definedName>
    <definedName name="IQ_NAMES_REVISION_DATE_" localSheetId="15" hidden="1">42304.6681018519</definedName>
    <definedName name="IQ_NAMES_REVISION_DATE_" localSheetId="18" hidden="1">43147.6180787037</definedName>
    <definedName name="IQ_NAMES_REVISION_DATE_" localSheetId="16" hidden="1">42184.6697800926</definedName>
    <definedName name="IQ_NAMES_REVISION_DATE_" localSheetId="17" hidden="1">42184.6697800926</definedName>
    <definedName name="IQ_NAMES_REVISION_DATE_" hidden="1">46091.7390740741</definedName>
    <definedName name="IQ_NAMES_REVISION_DATE__1" hidden="1">41915.6047569444</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 hidden="1">"c781"</definedName>
    <definedName name="IQ_NET_INC_10K" hidden="1">"NET_INC_10K"</definedName>
    <definedName name="IQ_NET_INC_10Q" hidden="1">"NET_INC_10Q"</definedName>
    <definedName name="IQ_NET_INC_10Q1" hidden="1">"NET_INC_10Q1"</definedName>
    <definedName name="IQ_NET_INC_BEFORE" hidden="1">"c344"</definedName>
    <definedName name="IQ_NET_INC_CF" hidden="1">"c793"</definedName>
    <definedName name="IQ_NET_INC_MARGIN" hidden="1">"c794"</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EST_THOM" hidden="1">"c5133"</definedName>
    <definedName name="IQ_NI_GW_HIGH_EST_REUT" hidden="1">"c5377"</definedName>
    <definedName name="IQ_NI_GW_HIGH_EST_THOM" hidden="1">"c5135"</definedName>
    <definedName name="IQ_NI_GW_LOW_EST_REUT" hidden="1">"c5378"</definedName>
    <definedName name="IQ_NI_GW_LOW_EST_THOM" hidden="1">"c5136"</definedName>
    <definedName name="IQ_NI_GW_MEDIAN_EST_REUT" hidden="1">"c5376"</definedName>
    <definedName name="IQ_NI_GW_MEDIAN_EST_THOM" hidden="1">"c5134"</definedName>
    <definedName name="IQ_NI_GW_NUM_EST_REUT" hidden="1">"c5379"</definedName>
    <definedName name="IQ_NI_GW_NUM_EST_THOM" hidden="1">"c5137"</definedName>
    <definedName name="IQ_NI_GW_STDDEV_EST_REUT" hidden="1">"c5380"</definedName>
    <definedName name="IQ_NI_GW_STDDEV_EST_THOM" hidden="1">"c5138"</definedName>
    <definedName name="IQ_NI_HIGH_EST_REUT" hidden="1">"c5370"</definedName>
    <definedName name="IQ_NI_LOW_EST_REUT" hidden="1">"c5371"</definedName>
    <definedName name="IQ_NI_MARGIN" hidden="1">"c794"</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S_OF_STATES_TOTAL_LOANS_FOREIGN_FDIC" hidden="1">"c6447"</definedName>
    <definedName name="IQ_OBLIGATIONS_STATES_FDIC" hidden="1">"c6431"</definedName>
    <definedName name="IQ_OCCUPY_EXP" hidden="1">"c839"</definedName>
    <definedName name="IQ_OG_OTHER_ADJ" hidden="1">"c1999"</definedName>
    <definedName name="IQ_OG_TOTAL_OIL_PRODUCTON" hidden="1">"c2059"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"c362"</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ISSUED" hidden="1">"c857"</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"c868"</definedName>
    <definedName name="IQ_OTHER_CURRENT_LIAB" hidden="1">"c877"</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 hidden="1">"c6374"</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FERRED_FDIC" hidden="1">"c6349"</definedName>
    <definedName name="IQ_PREMISES_EQUIPMENT_FDIC" hidden="1">"c6577"</definedName>
    <definedName name="IQ_PREMIUMS_ANNUITY_REV" hidden="1">"c1067"</definedName>
    <definedName name="IQ_PREPAID_EXP" hidden="1">"c1068"</definedName>
    <definedName name="IQ_PREPAID_EXPEN" hidden="1">"c1068"</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_10K" hidden="1">"PRETAX_INC_10K"</definedName>
    <definedName name="IQ_PRETAX_INC_10Q" hidden="1">"PRETAX_INC_10Q"</definedName>
    <definedName name="IQ_PRETAX_INC_10Q1" hidden="1">"PRETAX_INC_10Q1"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"c1026"</definedName>
    <definedName name="IQ_PRICE_OVER_LTM_EPS" hidden="1">"c1029"</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 hidden="1">"c1092"</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"c1117"</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"c1122"</definedName>
    <definedName name="IQ_REVENUE_10K" hidden="1">"REVENUE_10K"</definedName>
    <definedName name="IQ_REVENUE_10Q" hidden="1">"REVENUE_10Q"</definedName>
    <definedName name="IQ_REVENUE_10Q1" hidden="1">"REVENUE_10Q1"</definedName>
    <definedName name="IQ_REVENUE_ACT_OR_EST_REUT" hidden="1">"c5461"</definedName>
    <definedName name="IQ_REVENUE_EST_BOTTOM_UP_REUT" hidden="1">"c5496"</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"c1347"</definedName>
    <definedName name="IQ_SHAREOUTSTANDING_1"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DUE" hidden="1">"c2509"</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IABILITIES_FDIC" hidden="1">"c6348"</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RISK_BASED_CAPITAL_RATIO_FDIC" hidden="1">"c6747"</definedName>
    <definedName name="IQ_TOTAL_SECURITIES_FDIC" hidden="1">"c6306"</definedName>
    <definedName name="IQ_TOTAL_SPECIAL" hidden="1">"c1618"</definedName>
    <definedName name="IQ_TOTAL_ST_BORROW" hidden="1">"c1177"</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YEARHIGH" hidden="1">"c1337"</definedName>
    <definedName name="IQ_YEARLOW" hidden="1">"c1338"</definedName>
    <definedName name="IQ_YTD">3000</definedName>
    <definedName name="IQ_YTDMONTH" hidden="1">130000</definedName>
    <definedName name="IQ_Z_SCORE" hidden="1">"c1339"</definedName>
    <definedName name="IQB_BOOKMARK_COUNT" hidden="1">1</definedName>
    <definedName name="IQRA8" hidden="1">"$A$9:$A$964"</definedName>
    <definedName name="IQRB8" hidden="1">"$B$9:$B$964"</definedName>
    <definedName name="IQRC11" hidden="1">"$C$12:$C$967"</definedName>
    <definedName name="IQRC8" hidden="1">"$C$9:$C$964"</definedName>
    <definedName name="IQRD11" hidden="1">"$D$12:$D$967"</definedName>
    <definedName name="IQRD8" hidden="1">"$D$9:$D$964"</definedName>
    <definedName name="IQRE8" hidden="1">"$E$9:$E$964"</definedName>
    <definedName name="junk" hidden="1">#REF!</definedName>
    <definedName name="junk2" hidden="1">#REF!</definedName>
    <definedName name="k" hidden="1">#REF!</definedName>
    <definedName name="ke" hidden="1">#REF!</definedName>
    <definedName name="key" hidden="1">#REF!</definedName>
    <definedName name="MerrillPrintIt" hidden="1">#REF!</definedName>
    <definedName name="na" hidden="1">"IQ_FY_DATE"</definedName>
    <definedName name="NewRange" hidden="1">#REF!</definedName>
    <definedName name="nname" hidden="1">38743.7825231481</definedName>
    <definedName name="RedefinePrintTableRange" hidden="1">#REF!</definedName>
    <definedName name="Rev" hidden="1">#REF!</definedName>
    <definedName name="rich" localSheetId="20" hidden="1">{"Capital Plan CA Schedule",#N/A,TRUE,"Capital Plan";"Capital Plan Summary",#N/A,TRUE,"Capital Plan"}</definedName>
    <definedName name="rich" localSheetId="19" hidden="1">{"Capital Plan CA Schedule",#N/A,TRUE,"Capital Plan";"Capital Plan Summary",#N/A,TRUE,"Capital Plan"}</definedName>
    <definedName name="rich" localSheetId="18" hidden="1">{"Capital Plan CA Schedule",#N/A,TRUE,"Capital Plan";"Capital Plan Summary",#N/A,TRUE,"Capital Plan"}</definedName>
    <definedName name="rich" localSheetId="16" hidden="1">{"Capital Plan CA Schedule",#N/A,TRUE,"Capital Plan";"Capital Plan Summary",#N/A,TRUE,"Capital Plan"}</definedName>
    <definedName name="rich" localSheetId="17" hidden="1">{"Capital Plan CA Schedule",#N/A,TRUE,"Capital Plan";"Capital Plan Summary",#N/A,TRUE,"Capital Plan"}</definedName>
    <definedName name="rich" hidden="1">{"Capital Plan CA Schedule",#N/A,TRUE,"Capital Plan";"Capital Plan Summary",#N/A,TRUE,"Capital Plan"}</definedName>
    <definedName name="s" hidden="1">#REF!</definedName>
    <definedName name="sdfas" localSheetId="15" hidden="1">'CARR by Customer Tenure (DNE)'!#REF!</definedName>
    <definedName name="sdfas" localSheetId="18" hidden="1">#REF!</definedName>
    <definedName name="sdfas" localSheetId="16" hidden="1">#REF!</definedName>
    <definedName name="sdfas" localSheetId="17" hidden="1">#REF!</definedName>
    <definedName name="sdfas" hidden="1">#REF!</definedName>
    <definedName name="so" hidden="1">#REF!</definedName>
    <definedName name="solver_lin" hidden="1">0</definedName>
    <definedName name="solver_num" hidden="1">0</definedName>
    <definedName name="solver_typ" hidden="1">3</definedName>
    <definedName name="solver_val" hidden="1">399732</definedName>
    <definedName name="sor" hidden="1">#REF!</definedName>
    <definedName name="ssd" hidden="1">#REF!</definedName>
    <definedName name="SV_ENCPT_LOGON_PWD" hidden="1">"078104085088070118116120102"</definedName>
    <definedName name="SV_ENCPT_LOGON_USER" hidden="1">"095094088070084121100112113107"</definedName>
    <definedName name="ttttttt" localSheetId="2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19"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18"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16"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localSheetId="17"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94PV." localSheetId="20" hidden="1">{"Page1",#N/A,FALSE,"94PV";"Page2",#N/A,FALSE,"94PV"}</definedName>
    <definedName name="wrn.94PV." localSheetId="19" hidden="1">{"Page1",#N/A,FALSE,"94PV";"Page2",#N/A,FALSE,"94PV"}</definedName>
    <definedName name="wrn.94PV." localSheetId="18" hidden="1">{"Page1",#N/A,FALSE,"94PV";"Page2",#N/A,FALSE,"94PV"}</definedName>
    <definedName name="wrn.94PV." localSheetId="16" hidden="1">{"Page1",#N/A,FALSE,"94PV";"Page2",#N/A,FALSE,"94PV"}</definedName>
    <definedName name="wrn.94PV." localSheetId="17" hidden="1">{"Page1",#N/A,FALSE,"94PV";"Page2",#N/A,FALSE,"94PV"}</definedName>
    <definedName name="wrn.94PV." hidden="1">{"Page1",#N/A,FALSE,"94PV";"Page2",#N/A,FALSE,"94PV"}</definedName>
    <definedName name="wrn.all._.input." localSheetId="2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9"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6"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7"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sg." localSheetId="20" hidden="1">{#N/A,#N/A,FALSE,"Exh 1";#N/A,#N/A,FALSE,"Exh 2";#N/A,#N/A,FALSE,"Exh 2a";#N/A,#N/A,FALSE,"Exh 3";#N/A,#N/A,FALSE,"Exhib 4";#N/A,#N/A,FALSE,"eh 5";#N/A,#N/A,FALSE,"Exh 6"}</definedName>
    <definedName name="wrn.asg." localSheetId="19" hidden="1">{#N/A,#N/A,FALSE,"Exh 1";#N/A,#N/A,FALSE,"Exh 2";#N/A,#N/A,FALSE,"Exh 2a";#N/A,#N/A,FALSE,"Exh 3";#N/A,#N/A,FALSE,"Exhib 4";#N/A,#N/A,FALSE,"eh 5";#N/A,#N/A,FALSE,"Exh 6"}</definedName>
    <definedName name="wrn.asg." localSheetId="18" hidden="1">{#N/A,#N/A,FALSE,"Exh 1";#N/A,#N/A,FALSE,"Exh 2";#N/A,#N/A,FALSE,"Exh 2a";#N/A,#N/A,FALSE,"Exh 3";#N/A,#N/A,FALSE,"Exhib 4";#N/A,#N/A,FALSE,"eh 5";#N/A,#N/A,FALSE,"Exh 6"}</definedName>
    <definedName name="wrn.asg." localSheetId="16" hidden="1">{#N/A,#N/A,FALSE,"Exh 1";#N/A,#N/A,FALSE,"Exh 2";#N/A,#N/A,FALSE,"Exh 2a";#N/A,#N/A,FALSE,"Exh 3";#N/A,#N/A,FALSE,"Exhib 4";#N/A,#N/A,FALSE,"eh 5";#N/A,#N/A,FALSE,"Exh 6"}</definedName>
    <definedName name="wrn.asg." localSheetId="17" hidden="1">{#N/A,#N/A,FALSE,"Exh 1";#N/A,#N/A,FALSE,"Exh 2";#N/A,#N/A,FALSE,"Exh 2a";#N/A,#N/A,FALSE,"Exh 3";#N/A,#N/A,FALSE,"Exhib 4";#N/A,#N/A,FALSE,"eh 5";#N/A,#N/A,FALSE,"Exh 6"}</definedName>
    <definedName name="wrn.asg." hidden="1">{#N/A,#N/A,FALSE,"Exh 1";#N/A,#N/A,FALSE,"Exh 2";#N/A,#N/A,FALSE,"Exh 2a";#N/A,#N/A,FALSE,"Exh 3";#N/A,#N/A,FALSE,"Exhib 4";#N/A,#N/A,FALSE,"eh 5";#N/A,#N/A,FALSE,"Exh 6"}</definedName>
    <definedName name="wrn.Bank._.of._.America." localSheetId="20" hidden="1">{#N/A,#N/A,TRUE,"Cover_Page";#N/A,#N/A,TRUE,"Balance Sheet FY12";#N/A,#N/A,TRUE,"Debt Covenants_BofA_Cons";#N/A,#N/A,TRUE,"Consolidated-Cash Flow";#N/A,#N/A,TRUE,"CY_Per Inc FY12";#N/A,#N/A,TRUE,"Income FY12";#N/A,#N/A,TRUE,"Consolidated"}</definedName>
    <definedName name="wrn.Bank._.of._.America." localSheetId="19" hidden="1">{#N/A,#N/A,TRUE,"Cover_Page";#N/A,#N/A,TRUE,"Balance Sheet FY12";#N/A,#N/A,TRUE,"Debt Covenants_BofA_Cons";#N/A,#N/A,TRUE,"Consolidated-Cash Flow";#N/A,#N/A,TRUE,"CY_Per Inc FY12";#N/A,#N/A,TRUE,"Income FY12";#N/A,#N/A,TRUE,"Consolidated"}</definedName>
    <definedName name="wrn.Bank._.of._.America." localSheetId="18" hidden="1">{#N/A,#N/A,TRUE,"Cover_Page";#N/A,#N/A,TRUE,"Balance Sheet FY12";#N/A,#N/A,TRUE,"Debt Covenants_BofA_Cons";#N/A,#N/A,TRUE,"Consolidated-Cash Flow";#N/A,#N/A,TRUE,"CY_Per Inc FY12";#N/A,#N/A,TRUE,"Income FY12";#N/A,#N/A,TRUE,"Consolidated"}</definedName>
    <definedName name="wrn.Bank._.of._.America." localSheetId="16" hidden="1">{#N/A,#N/A,TRUE,"Cover_Page";#N/A,#N/A,TRUE,"Balance Sheet FY12";#N/A,#N/A,TRUE,"Debt Covenants_BofA_Cons";#N/A,#N/A,TRUE,"Consolidated-Cash Flow";#N/A,#N/A,TRUE,"CY_Per Inc FY12";#N/A,#N/A,TRUE,"Income FY12";#N/A,#N/A,TRUE,"Consolidated"}</definedName>
    <definedName name="wrn.Bank._.of._.America." localSheetId="17" hidden="1">{#N/A,#N/A,TRUE,"Cover_Page";#N/A,#N/A,TRUE,"Balance Sheet FY12";#N/A,#N/A,TRUE,"Debt Covenants_BofA_Cons";#N/A,#N/A,TRUE,"Consolidated-Cash Flow";#N/A,#N/A,TRUE,"CY_Per Inc FY12";#N/A,#N/A,TRUE,"Income FY12";#N/A,#N/A,TRUE,"Consolidated"}</definedName>
    <definedName name="wrn.Bank._.of._.America." hidden="1">{#N/A,#N/A,TRUE,"Cover_Page";#N/A,#N/A,TRUE,"Balance Sheet FY12";#N/A,#N/A,TRUE,"Debt Covenants_BofA_Cons";#N/A,#N/A,TRUE,"Consolidated-Cash Flow";#N/A,#N/A,TRUE,"CY_Per Inc FY12";#N/A,#N/A,TRUE,"Income FY12";#N/A,#N/A,TRUE,"Consolidated"}</definedName>
    <definedName name="wrn.BKD." localSheetId="20" hidden="1">{#N/A,#N/A,FALSE,"Cover_Page";#N/A,#N/A,FALSE,"Balance Sheet FY12";#N/A,#N/A,FALSE,"Debt Covenants_US Bank_Cons";#N/A,#N/A,FALSE,"Debt Covenants_BofA_Cons";#N/A,#N/A,FALSE,"Consolidated-Cash Flow";#N/A,#N/A,FALSE,"CY_Per Inc FY12";#N/A,#N/A,FALSE,"Income FY12";#N/A,#N/A,FALSE,"Consolidated"}</definedName>
    <definedName name="wrn.BKD." localSheetId="19" hidden="1">{#N/A,#N/A,FALSE,"Cover_Page";#N/A,#N/A,FALSE,"Balance Sheet FY12";#N/A,#N/A,FALSE,"Debt Covenants_US Bank_Cons";#N/A,#N/A,FALSE,"Debt Covenants_BofA_Cons";#N/A,#N/A,FALSE,"Consolidated-Cash Flow";#N/A,#N/A,FALSE,"CY_Per Inc FY12";#N/A,#N/A,FALSE,"Income FY12";#N/A,#N/A,FALSE,"Consolidated"}</definedName>
    <definedName name="wrn.BKD." localSheetId="18" hidden="1">{#N/A,#N/A,FALSE,"Cover_Page";#N/A,#N/A,FALSE,"Balance Sheet FY12";#N/A,#N/A,FALSE,"Debt Covenants_US Bank_Cons";#N/A,#N/A,FALSE,"Debt Covenants_BofA_Cons";#N/A,#N/A,FALSE,"Consolidated-Cash Flow";#N/A,#N/A,FALSE,"CY_Per Inc FY12";#N/A,#N/A,FALSE,"Income FY12";#N/A,#N/A,FALSE,"Consolidated"}</definedName>
    <definedName name="wrn.BKD." localSheetId="16" hidden="1">{#N/A,#N/A,FALSE,"Cover_Page";#N/A,#N/A,FALSE,"Balance Sheet FY12";#N/A,#N/A,FALSE,"Debt Covenants_US Bank_Cons";#N/A,#N/A,FALSE,"Debt Covenants_BofA_Cons";#N/A,#N/A,FALSE,"Consolidated-Cash Flow";#N/A,#N/A,FALSE,"CY_Per Inc FY12";#N/A,#N/A,FALSE,"Income FY12";#N/A,#N/A,FALSE,"Consolidated"}</definedName>
    <definedName name="wrn.BKD." localSheetId="17" hidden="1">{#N/A,#N/A,FALSE,"Cover_Page";#N/A,#N/A,FALSE,"Balance Sheet FY12";#N/A,#N/A,FALSE,"Debt Covenants_US Bank_Cons";#N/A,#N/A,FALSE,"Debt Covenants_BofA_Cons";#N/A,#N/A,FALSE,"Consolidated-Cash Flow";#N/A,#N/A,FALSE,"CY_Per Inc FY12";#N/A,#N/A,FALSE,"Income FY12";#N/A,#N/A,FALSE,"Consolidated"}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Capital._.Plan._.Report." localSheetId="20" hidden="1">{"Capital Plan CA Schedule",#N/A,TRUE,"Capital Plan";"Capital Plan Summary",#N/A,TRUE,"Capital Plan"}</definedName>
    <definedName name="wrn.Capital._.Plan._.Report." localSheetId="19" hidden="1">{"Capital Plan CA Schedule",#N/A,TRUE,"Capital Plan";"Capital Plan Summary",#N/A,TRUE,"Capital Plan"}</definedName>
    <definedName name="wrn.Capital._.Plan._.Report." localSheetId="18" hidden="1">{"Capital Plan CA Schedule",#N/A,TRUE,"Capital Plan";"Capital Plan Summary",#N/A,TRUE,"Capital Plan"}</definedName>
    <definedName name="wrn.Capital._.Plan._.Report." localSheetId="16" hidden="1">{"Capital Plan CA Schedule",#N/A,TRUE,"Capital Plan";"Capital Plan Summary",#N/A,TRUE,"Capital Plan"}</definedName>
    <definedName name="wrn.Capital._.Plan._.Report." localSheetId="17" hidden="1">{"Capital Plan CA Schedule",#N/A,TRUE,"Capital Plan";"Capital Plan Summary",#N/A,TRUE,"Capital Plan"}</definedName>
    <definedName name="wrn.Capital._.Plan._.Report." hidden="1">{"Capital Plan CA Schedule",#N/A,TRUE,"Capital Plan";"Capital Plan Summary",#N/A,TRUE,"Capital Plan"}</definedName>
    <definedName name="wrn.client." localSheetId="20" hidden="1">{"multiple",#N/A,FALSE,"client";"margins",#N/A,FALSE,"client";"data",#N/A,FALSE,"client"}</definedName>
    <definedName name="wrn.client." localSheetId="19" hidden="1">{"multiple",#N/A,FALSE,"client";"margins",#N/A,FALSE,"client";"data",#N/A,FALSE,"client"}</definedName>
    <definedName name="wrn.client." localSheetId="18" hidden="1">{"multiple",#N/A,FALSE,"client";"margins",#N/A,FALSE,"client";"data",#N/A,FALSE,"client"}</definedName>
    <definedName name="wrn.client." localSheetId="16" hidden="1">{"multiple",#N/A,FALSE,"client";"margins",#N/A,FALSE,"client";"data",#N/A,FALSE,"client"}</definedName>
    <definedName name="wrn.client." localSheetId="17" hidden="1">{"multiple",#N/A,FALSE,"client";"margins",#N/A,FALSE,"client";"data",#N/A,FALSE,"client"}</definedName>
    <definedName name="wrn.client." hidden="1">{"multiple",#N/A,FALSE,"client";"margins",#N/A,FALSE,"client";"data",#N/A,FALSE,"client"}</definedName>
    <definedName name="wrn.Client3." localSheetId="20" hidden="1">{"data",#N/A,FALSE,"client (3)";"margins",#N/A,FALSE,"client (3)";"multiple",#N/A,FALSE,"client (3)"}</definedName>
    <definedName name="wrn.Client3." localSheetId="19" hidden="1">{"data",#N/A,FALSE,"client (3)";"margins",#N/A,FALSE,"client (3)";"multiple",#N/A,FALSE,"client (3)"}</definedName>
    <definedName name="wrn.Client3." localSheetId="18" hidden="1">{"data",#N/A,FALSE,"client (3)";"margins",#N/A,FALSE,"client (3)";"multiple",#N/A,FALSE,"client (3)"}</definedName>
    <definedName name="wrn.Client3." localSheetId="16" hidden="1">{"data",#N/A,FALSE,"client (3)";"margins",#N/A,FALSE,"client (3)";"multiple",#N/A,FALSE,"client (3)"}</definedName>
    <definedName name="wrn.Client3." localSheetId="17" hidden="1">{"data",#N/A,FALSE,"client (3)";"margins",#N/A,FALSE,"client (3)";"multiple",#N/A,FALSE,"client (3)"}</definedName>
    <definedName name="wrn.Client3." hidden="1">{"data",#N/A,FALSE,"client (3)";"margins",#N/A,FALSE,"client (3)";"multiple",#N/A,FALSE,"client (3)"}</definedName>
    <definedName name="wrn.client4." localSheetId="20" hidden="1">{"multiple",#N/A,FALSE,"client (4)";"margins",#N/A,FALSE,"client (4)";"data",#N/A,FALSE,"client (4)"}</definedName>
    <definedName name="wrn.client4." localSheetId="19" hidden="1">{"multiple",#N/A,FALSE,"client (4)";"margins",#N/A,FALSE,"client (4)";"data",#N/A,FALSE,"client (4)"}</definedName>
    <definedName name="wrn.client4." localSheetId="18" hidden="1">{"multiple",#N/A,FALSE,"client (4)";"margins",#N/A,FALSE,"client (4)";"data",#N/A,FALSE,"client (4)"}</definedName>
    <definedName name="wrn.client4." localSheetId="16" hidden="1">{"multiple",#N/A,FALSE,"client (4)";"margins",#N/A,FALSE,"client (4)";"data",#N/A,FALSE,"client (4)"}</definedName>
    <definedName name="wrn.client4." localSheetId="17" hidden="1">{"multiple",#N/A,FALSE,"client (4)";"margins",#N/A,FALSE,"client (4)";"data",#N/A,FALSE,"client (4)"}</definedName>
    <definedName name="wrn.client4." hidden="1">{"multiple",#N/A,FALSE,"client (4)";"margins",#N/A,FALSE,"client (4)";"data",#N/A,FALSE,"client (4)"}</definedName>
    <definedName name="wrn.DCF._.Valuation." localSheetId="20" hidden="1">{"value box",#N/A,TRUE,"DPL Inc. Fin Statements";"unlevered free cash flows",#N/A,TRUE,"DPL Inc. Fin Statements"}</definedName>
    <definedName name="wrn.DCF._.Valuation." localSheetId="19" hidden="1">{"value box",#N/A,TRUE,"DPL Inc. Fin Statements";"unlevered free cash flows",#N/A,TRUE,"DPL Inc. Fin Statements"}</definedName>
    <definedName name="wrn.DCF._.Valuation." localSheetId="18" hidden="1">{"value box",#N/A,TRUE,"DPL Inc. Fin Statements";"unlevered free cash flows",#N/A,TRUE,"DPL Inc. Fin Statements"}</definedName>
    <definedName name="wrn.DCF._.Valuation." localSheetId="16" hidden="1">{"value box",#N/A,TRUE,"DPL Inc. Fin Statements";"unlevered free cash flows",#N/A,TRUE,"DPL Inc. Fin Statements"}</definedName>
    <definedName name="wrn.DCF._.Valuation." localSheetId="17" hidden="1">{"value box",#N/A,TRUE,"DPL Inc. Fin Statements";"unlevered free cash flows",#N/A,TRUE,"DPL Inc. Fin Statements"}</definedName>
    <definedName name="wrn.DCF._.Valuation." hidden="1">{"value box",#N/A,TRUE,"DPL Inc. Fin Statements";"unlevered free cash flows",#N/A,TRUE,"DPL Inc. Fin Statements"}</definedName>
    <definedName name="wrn.FCB." localSheetId="20" hidden="1">{"FCB_ALL",#N/A,FALSE,"FCB"}</definedName>
    <definedName name="wrn.FCB." localSheetId="19" hidden="1">{"FCB_ALL",#N/A,FALSE,"FCB"}</definedName>
    <definedName name="wrn.FCB." localSheetId="18" hidden="1">{"FCB_ALL",#N/A,FALSE,"FCB"}</definedName>
    <definedName name="wrn.FCB." localSheetId="16" hidden="1">{"FCB_ALL",#N/A,FALSE,"FCB"}</definedName>
    <definedName name="wrn.FCB." localSheetId="17" hidden="1">{"FCB_ALL",#N/A,FALSE,"FCB"}</definedName>
    <definedName name="wrn.FCB." hidden="1">{"FCB_ALL",#N/A,FALSE,"FCB"}</definedName>
    <definedName name="wrn.fcb2" localSheetId="20" hidden="1">{"FCB_ALL",#N/A,FALSE,"FCB"}</definedName>
    <definedName name="wrn.fcb2" localSheetId="19" hidden="1">{"FCB_ALL",#N/A,FALSE,"FCB"}</definedName>
    <definedName name="wrn.fcb2" localSheetId="18" hidden="1">{"FCB_ALL",#N/A,FALSE,"FCB"}</definedName>
    <definedName name="wrn.fcb2" localSheetId="16" hidden="1">{"FCB_ALL",#N/A,FALSE,"FCB"}</definedName>
    <definedName name="wrn.fcb2" localSheetId="17" hidden="1">{"FCB_ALL",#N/A,FALSE,"FCB"}</definedName>
    <definedName name="wrn.fcb2" hidden="1">{"FCB_ALL",#N/A,FALSE,"FCB"}</definedName>
    <definedName name="wrn.Full._.report." localSheetId="20" hidden="1">{"multiple",#N/A,FALSE,"client (2)";"margins",#N/A,FALSE,"client (2)";"data",#N/A,FALSE,"client (2)";"multiple",#N/A,FALSE,"client";"margins",#N/A,FALSE,"client";"data",#N/A,FALSE,"client"}</definedName>
    <definedName name="wrn.Full._.report." localSheetId="19" hidden="1">{"multiple",#N/A,FALSE,"client (2)";"margins",#N/A,FALSE,"client (2)";"data",#N/A,FALSE,"client (2)";"multiple",#N/A,FALSE,"client";"margins",#N/A,FALSE,"client";"data",#N/A,FALSE,"client"}</definedName>
    <definedName name="wrn.Full._.report." localSheetId="18" hidden="1">{"multiple",#N/A,FALSE,"client (2)";"margins",#N/A,FALSE,"client (2)";"data",#N/A,FALSE,"client (2)";"multiple",#N/A,FALSE,"client";"margins",#N/A,FALSE,"client";"data",#N/A,FALSE,"client"}</definedName>
    <definedName name="wrn.Full._.report." localSheetId="16" hidden="1">{"multiple",#N/A,FALSE,"client (2)";"margins",#N/A,FALSE,"client (2)";"data",#N/A,FALSE,"client (2)";"multiple",#N/A,FALSE,"client";"margins",#N/A,FALSE,"client";"data",#N/A,FALSE,"client"}</definedName>
    <definedName name="wrn.Full._.report." localSheetId="17" hidden="1">{"multiple",#N/A,FALSE,"client (2)";"margins",#N/A,FALSE,"client (2)";"data",#N/A,FALSE,"client (2)";"multiple",#N/A,FALSE,"client";"margins",#N/A,FALSE,"client";"data",#N/A,FALSE,"client"}</definedName>
    <definedName name="wrn.Full._.report." hidden="1">{"multiple",#N/A,FALSE,"client (2)";"margins",#N/A,FALSE,"client (2)";"data",#N/A,FALSE,"client (2)";"multiple",#N/A,FALSE,"client";"margins",#N/A,FALSE,"client";"data",#N/A,FALSE,"client"}</definedName>
    <definedName name="wrn.Full._.Workbook._.Report." localSheetId="20" hidden="1">{"Balance Sheet Summary",#N/A,TRUE,"Balance Sheet";"Cash Flow Summary",#N/A,TRUE,"Cash Flow";"Capital Plan CA Schedule",#N/A,TRUE,"Capital Plan";"Capital Plan Summary",#N/A,TRUE,"Capital Plan"}</definedName>
    <definedName name="wrn.Full._.Workbook._.Report." localSheetId="19" hidden="1">{"Balance Sheet Summary",#N/A,TRUE,"Balance Sheet";"Cash Flow Summary",#N/A,TRUE,"Cash Flow";"Capital Plan CA Schedule",#N/A,TRUE,"Capital Plan";"Capital Plan Summary",#N/A,TRUE,"Capital Plan"}</definedName>
    <definedName name="wrn.Full._.Workbook._.Report." localSheetId="18" hidden="1">{"Balance Sheet Summary",#N/A,TRUE,"Balance Sheet";"Cash Flow Summary",#N/A,TRUE,"Cash Flow";"Capital Plan CA Schedule",#N/A,TRUE,"Capital Plan";"Capital Plan Summary",#N/A,TRUE,"Capital Plan"}</definedName>
    <definedName name="wrn.Full._.Workbook._.Report." localSheetId="16" hidden="1">{"Balance Sheet Summary",#N/A,TRUE,"Balance Sheet";"Cash Flow Summary",#N/A,TRUE,"Cash Flow";"Capital Plan CA Schedule",#N/A,TRUE,"Capital Plan";"Capital Plan Summary",#N/A,TRUE,"Capital Plan"}</definedName>
    <definedName name="wrn.Full._.Workbook._.Report." localSheetId="17" hidden="1">{"Balance Sheet Summary",#N/A,TRUE,"Balance Sheet";"Cash Flow Summary",#N/A,TRUE,"Cash Flow";"Capital Plan CA Schedule",#N/A,TRUE,"Capital Plan";"Capital Plan Summary",#N/A,TRUE,"Capital Plan"}</definedName>
    <definedName name="wrn.Full._.Workbook._.Report." hidden="1">{"Balance Sheet Summary",#N/A,TRUE,"Balance Sheet";"Cash Flow Summary",#N/A,TRUE,"Cash Flow";"Capital Plan CA Schedule",#N/A,TRUE,"Capital Plan";"Capital Plan Summary",#N/A,TRUE,"Capital Plan"}</definedName>
    <definedName name="wrn.jerrys_copy." localSheetId="20"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19"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18"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16"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localSheetId="17"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mikes_copy." localSheetId="20"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19"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18"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16"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localSheetId="17"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Print._.All." localSheetId="2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localSheetId="19"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localSheetId="18"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localSheetId="16"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localSheetId="17"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graphs." localSheetId="20" hidden="1">{"cap_structure",#N/A,FALSE,"Graph-Mkt Cap";"price",#N/A,FALSE,"Graph-Price";"ebit",#N/A,FALSE,"Graph-EBITDA";"ebitda",#N/A,FALSE,"Graph-EBITDA"}</definedName>
    <definedName name="wrn.print._.graphs." localSheetId="19" hidden="1">{"cap_structure",#N/A,FALSE,"Graph-Mkt Cap";"price",#N/A,FALSE,"Graph-Price";"ebit",#N/A,FALSE,"Graph-EBITDA";"ebitda",#N/A,FALSE,"Graph-EBITDA"}</definedName>
    <definedName name="wrn.print._.graphs." localSheetId="18" hidden="1">{"cap_structure",#N/A,FALSE,"Graph-Mkt Cap";"price",#N/A,FALSE,"Graph-Price";"ebit",#N/A,FALSE,"Graph-EBITDA";"ebitda",#N/A,FALSE,"Graph-EBITDA"}</definedName>
    <definedName name="wrn.print._.graphs." localSheetId="16" hidden="1">{"cap_structure",#N/A,FALSE,"Graph-Mkt Cap";"price",#N/A,FALSE,"Graph-Price";"ebit",#N/A,FALSE,"Graph-EBITDA";"ebitda",#N/A,FALSE,"Graph-EBITDA"}</definedName>
    <definedName name="wrn.print._.graphs." localSheetId="17"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20" hidden="1">{"inputs raw data",#N/A,TRUE,"INPUT"}</definedName>
    <definedName name="wrn.print._.raw._.data._.entry." localSheetId="19" hidden="1">{"inputs raw data",#N/A,TRUE,"INPUT"}</definedName>
    <definedName name="wrn.print._.raw._.data._.entry." localSheetId="18" hidden="1">{"inputs raw data",#N/A,TRUE,"INPUT"}</definedName>
    <definedName name="wrn.print._.raw._.data._.entry." localSheetId="16" hidden="1">{"inputs raw data",#N/A,TRUE,"INPUT"}</definedName>
    <definedName name="wrn.print._.raw._.data._.entry." localSheetId="17" hidden="1">{"inputs raw data",#N/A,TRUE,"INPUT"}</definedName>
    <definedName name="wrn.print._.raw._.data._.entry." hidden="1">{"inputs raw data",#N/A,TRUE,"INPUT"}</definedName>
    <definedName name="wrn.print._.summary._.sheets." localSheetId="20" hidden="1">{"summary1",#N/A,TRUE,"Comps";"summary2",#N/A,TRUE,"Comps";"summary3",#N/A,TRUE,"Comps"}</definedName>
    <definedName name="wrn.print._.summary._.sheets." localSheetId="19" hidden="1">{"summary1",#N/A,TRUE,"Comps";"summary2",#N/A,TRUE,"Comps";"summary3",#N/A,TRUE,"Comps"}</definedName>
    <definedName name="wrn.print._.summary._.sheets." localSheetId="18" hidden="1">{"summary1",#N/A,TRUE,"Comps";"summary2",#N/A,TRUE,"Comps";"summary3",#N/A,TRUE,"Comps"}</definedName>
    <definedName name="wrn.print._.summary._.sheets." localSheetId="16" hidden="1">{"summary1",#N/A,TRUE,"Comps";"summary2",#N/A,TRUE,"Comps";"summary3",#N/A,TRUE,"Comps"}</definedName>
    <definedName name="wrn.print._.summary._.sheets." localSheetId="17" hidden="1">{"summary1",#N/A,TRUE,"Comps";"summary2",#N/A,TRUE,"Comps";"summary3",#N/A,TRUE,"Comps"}</definedName>
    <definedName name="wrn.print._.summary._.sheets." hidden="1">{"summary1",#N/A,TRUE,"Comps";"summary2",#N/A,TRUE,"Comps";"summary3",#N/A,TRUE,"Comps"}</definedName>
    <definedName name="wrn.Print_Buyer." localSheetId="20" hidden="1">{#N/A,"DR",FALSE,"increm pf";#N/A,"MAMSI",FALSE,"increm pf";#N/A,"MAXI",FALSE,"increm pf";#N/A,"PCAM",FALSE,"increm pf";#N/A,"PHSV",FALSE,"increm pf";#N/A,"SIE",FALSE,"increm pf"}</definedName>
    <definedName name="wrn.Print_Buyer." localSheetId="19" hidden="1">{#N/A,"DR",FALSE,"increm pf";#N/A,"MAMSI",FALSE,"increm pf";#N/A,"MAXI",FALSE,"increm pf";#N/A,"PCAM",FALSE,"increm pf";#N/A,"PHSV",FALSE,"increm pf";#N/A,"SIE",FALSE,"increm pf"}</definedName>
    <definedName name="wrn.Print_Buyer." localSheetId="18" hidden="1">{#N/A,"DR",FALSE,"increm pf";#N/A,"MAMSI",FALSE,"increm pf";#N/A,"MAXI",FALSE,"increm pf";#N/A,"PCAM",FALSE,"increm pf";#N/A,"PHSV",FALSE,"increm pf";#N/A,"SIE",FALSE,"increm pf"}</definedName>
    <definedName name="wrn.Print_Buyer." localSheetId="16" hidden="1">{#N/A,"DR",FALSE,"increm pf";#N/A,"MAMSI",FALSE,"increm pf";#N/A,"MAXI",FALSE,"increm pf";#N/A,"PCAM",FALSE,"increm pf";#N/A,"PHSV",FALSE,"increm pf";#N/A,"SIE",FALSE,"increm pf"}</definedName>
    <definedName name="wrn.Print_Buyer." localSheetId="17"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2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7"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Regions._.Bank." localSheetId="20" hidden="1">{#N/A,#N/A,FALSE,"Cover_Page";#N/A,#N/A,FALSE,"Balance Sheet FY12";#N/A,#N/A,FALSE,"Consolidated-Cash Flow";#N/A,#N/A,FALSE,"CY_Per Inc FY12"}</definedName>
    <definedName name="wrn.Regions._.Bank." localSheetId="19" hidden="1">{#N/A,#N/A,FALSE,"Cover_Page";#N/A,#N/A,FALSE,"Balance Sheet FY12";#N/A,#N/A,FALSE,"Consolidated-Cash Flow";#N/A,#N/A,FALSE,"CY_Per Inc FY12"}</definedName>
    <definedName name="wrn.Regions._.Bank." localSheetId="18" hidden="1">{#N/A,#N/A,FALSE,"Cover_Page";#N/A,#N/A,FALSE,"Balance Sheet FY12";#N/A,#N/A,FALSE,"Consolidated-Cash Flow";#N/A,#N/A,FALSE,"CY_Per Inc FY12"}</definedName>
    <definedName name="wrn.Regions._.Bank." localSheetId="16" hidden="1">{#N/A,#N/A,FALSE,"Cover_Page";#N/A,#N/A,FALSE,"Balance Sheet FY12";#N/A,#N/A,FALSE,"Consolidated-Cash Flow";#N/A,#N/A,FALSE,"CY_Per Inc FY12"}</definedName>
    <definedName name="wrn.Regions._.Bank." localSheetId="17" hidden="1">{#N/A,#N/A,FALSE,"Cover_Page";#N/A,#N/A,FALSE,"Balance Sheet FY12";#N/A,#N/A,FALSE,"Consolidated-Cash Flow";#N/A,#N/A,FALSE,"CY_Per Inc FY12"}</definedName>
    <definedName name="wrn.Regions._.Bank." hidden="1">{#N/A,#N/A,FALSE,"Cover_Page";#N/A,#N/A,FALSE,"Balance Sheet FY12";#N/A,#N/A,FALSE,"Consolidated-Cash Flow";#N/A,#N/A,FALSE,"CY_Per Inc FY12"}</definedName>
    <definedName name="wrn.STAND_ALONE_BOTH." localSheetId="20" hidden="1">{"FCB_ALL",#N/A,FALSE,"FCB";"GREY_ALL",#N/A,FALSE,"GREY"}</definedName>
    <definedName name="wrn.STAND_ALONE_BOTH." localSheetId="19" hidden="1">{"FCB_ALL",#N/A,FALSE,"FCB";"GREY_ALL",#N/A,FALSE,"GREY"}</definedName>
    <definedName name="wrn.STAND_ALONE_BOTH." localSheetId="18" hidden="1">{"FCB_ALL",#N/A,FALSE,"FCB";"GREY_ALL",#N/A,FALSE,"GREY"}</definedName>
    <definedName name="wrn.STAND_ALONE_BOTH." localSheetId="16" hidden="1">{"FCB_ALL",#N/A,FALSE,"FCB";"GREY_ALL",#N/A,FALSE,"GREY"}</definedName>
    <definedName name="wrn.STAND_ALONE_BOTH." localSheetId="17" hidden="1">{"FCB_ALL",#N/A,FALSE,"FCB";"GREY_ALL",#N/A,FALSE,"GREY"}</definedName>
    <definedName name="wrn.STAND_ALONE_BOTH." hidden="1">{"FCB_ALL",#N/A,FALSE,"FCB";"GREY_ALL",#N/A,FALSE,"GREY"}</definedName>
    <definedName name="wrn.US._.Bank." localSheetId="20" hidden="1">{#N/A,#N/A,TRUE,"Cover_Page";#N/A,#N/A,TRUE,"Balance Sheet FY12";#N/A,#N/A,TRUE,"Debt Covenants_US Bank_Cons";#N/A,#N/A,TRUE,"Consolidated-Cash Flow";#N/A,#N/A,TRUE,"CY_Per Inc FY12";#N/A,#N/A,TRUE,"Income FY12";#N/A,#N/A,TRUE,"Consolidated"}</definedName>
    <definedName name="wrn.US._.Bank." localSheetId="19" hidden="1">{#N/A,#N/A,TRUE,"Cover_Page";#N/A,#N/A,TRUE,"Balance Sheet FY12";#N/A,#N/A,TRUE,"Debt Covenants_US Bank_Cons";#N/A,#N/A,TRUE,"Consolidated-Cash Flow";#N/A,#N/A,TRUE,"CY_Per Inc FY12";#N/A,#N/A,TRUE,"Income FY12";#N/A,#N/A,TRUE,"Consolidated"}</definedName>
    <definedName name="wrn.US._.Bank." localSheetId="18" hidden="1">{#N/A,#N/A,TRUE,"Cover_Page";#N/A,#N/A,TRUE,"Balance Sheet FY12";#N/A,#N/A,TRUE,"Debt Covenants_US Bank_Cons";#N/A,#N/A,TRUE,"Consolidated-Cash Flow";#N/A,#N/A,TRUE,"CY_Per Inc FY12";#N/A,#N/A,TRUE,"Income FY12";#N/A,#N/A,TRUE,"Consolidated"}</definedName>
    <definedName name="wrn.US._.Bank." localSheetId="16" hidden="1">{#N/A,#N/A,TRUE,"Cover_Page";#N/A,#N/A,TRUE,"Balance Sheet FY12";#N/A,#N/A,TRUE,"Debt Covenants_US Bank_Cons";#N/A,#N/A,TRUE,"Consolidated-Cash Flow";#N/A,#N/A,TRUE,"CY_Per Inc FY12";#N/A,#N/A,TRUE,"Income FY12";#N/A,#N/A,TRUE,"Consolidated"}</definedName>
    <definedName name="wrn.US._.Bank." localSheetId="17" hidden="1">{#N/A,#N/A,TRUE,"Cover_Page";#N/A,#N/A,TRUE,"Balance Sheet FY12";#N/A,#N/A,TRUE,"Debt Covenants_US Bank_Cons";#N/A,#N/A,TRUE,"Consolidated-Cash Flow";#N/A,#N/A,TRUE,"CY_Per Inc FY12";#N/A,#N/A,TRUE,"Income FY12";#N/A,#N/A,TRUE,"Consolidated"}</definedName>
    <definedName name="wrn.US._.Bank." hidden="1">{#N/A,#N/A,TRUE,"Cover_Page";#N/A,#N/A,TRUE,"Balance Sheet FY12";#N/A,#N/A,TRUE,"Debt Covenants_US Bank_Cons";#N/A,#N/A,TRUE,"Consolidated-Cash Flow";#N/A,#N/A,TRUE,"CY_Per Inc FY12";#N/A,#N/A,TRUE,"Income FY12";#N/A,#N/A,TRUE,"Consolidated"}</definedName>
    <definedName name="wrn.Wacc." localSheetId="20" hidden="1">{"Area1",#N/A,FALSE,"OREWACC";"Area2",#N/A,FALSE,"OREWACC"}</definedName>
    <definedName name="wrn.Wacc." localSheetId="19" hidden="1">{"Area1",#N/A,FALSE,"OREWACC";"Area2",#N/A,FALSE,"OREWACC"}</definedName>
    <definedName name="wrn.Wacc." localSheetId="18" hidden="1">{"Area1",#N/A,FALSE,"OREWACC";"Area2",#N/A,FALSE,"OREWACC"}</definedName>
    <definedName name="wrn.Wacc." localSheetId="16" hidden="1">{"Area1",#N/A,FALSE,"OREWACC";"Area2",#N/A,FALSE,"OREWACC"}</definedName>
    <definedName name="wrn.Wacc." localSheetId="17" hidden="1">{"Area1",#N/A,FALSE,"OREWACC";"Area2",#N/A,FALSE,"OREWACC"}</definedName>
    <definedName name="wrn.Wacc." hidden="1">{"Area1",#N/A,FALSE,"OREWACC";"Area2",#N/A,FALSE,"OREWACC"}</definedName>
    <definedName name="wvu.inputs._.raw._.data."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localSheetId="15" hidden="1">'CARR by Customer Tenure (DNE)'!#REF!</definedName>
    <definedName name="X" localSheetId="18" hidden="1">#REF!</definedName>
    <definedName name="X" localSheetId="16" hidden="1">#REF!</definedName>
    <definedName name="X" localSheetId="17" hidden="1">#REF!</definedName>
    <definedName name="X" hidden="1">#REF!</definedName>
    <definedName name="xxx" localSheetId="20" hidden="1">{"'debtors'!$A$1:$I$305","'debtors'!$A$1:$J$285"}</definedName>
    <definedName name="xxx" localSheetId="19" hidden="1">{"'debtors'!$A$1:$I$305","'debtors'!$A$1:$J$285"}</definedName>
    <definedName name="xxx" localSheetId="18" hidden="1">{"'debtors'!$A$1:$I$305","'debtors'!$A$1:$J$285"}</definedName>
    <definedName name="xxx" localSheetId="16" hidden="1">{"'debtors'!$A$1:$I$305","'debtors'!$A$1:$J$285"}</definedName>
    <definedName name="xxx" localSheetId="17" hidden="1">{"'debtors'!$A$1:$I$305","'debtors'!$A$1:$J$285"}</definedName>
    <definedName name="xxx" hidden="1">{"'debtors'!$A$1:$I$305","'debtors'!$A$1:$J$285"}</definedName>
    <definedName name="xxxxxx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7" l="1"/>
  <c r="C13" i="37"/>
  <c r="E10" i="37"/>
  <c r="E13" i="37" s="1"/>
  <c r="B52" i="13" l="1"/>
  <c r="B53" i="13" s="1"/>
  <c r="B54" i="13" s="1"/>
  <c r="B55" i="13" s="1"/>
  <c r="B56" i="13" s="1"/>
  <c r="B57" i="13" s="1"/>
  <c r="B58" i="13" s="1"/>
  <c r="B59" i="13" s="1"/>
  <c r="B60" i="13" s="1"/>
  <c r="B61" i="13" s="1"/>
  <c r="B13" i="24" l="1"/>
  <c r="D18" i="24"/>
  <c r="E18" i="24"/>
  <c r="F18" i="24"/>
  <c r="B23" i="24"/>
  <c r="D28" i="24"/>
  <c r="E28" i="24"/>
  <c r="F28" i="24"/>
  <c r="B33" i="24"/>
  <c r="D38" i="24"/>
  <c r="E38" i="24"/>
  <c r="F38" i="24"/>
  <c r="B30" i="25"/>
  <c r="B31" i="25" s="1"/>
  <c r="B32" i="25"/>
  <c r="B33" i="25" s="1"/>
  <c r="B36" i="25"/>
  <c r="B43" i="25"/>
  <c r="B44" i="25"/>
  <c r="B45" i="25"/>
  <c r="B46" i="25"/>
  <c r="B47" i="25" s="1"/>
  <c r="B48" i="25" s="1"/>
  <c r="B49" i="25" s="1"/>
  <c r="B50" i="25" s="1"/>
  <c r="B51" i="25" s="1"/>
  <c r="B25" i="23"/>
  <c r="G15" i="19"/>
  <c r="M15" i="19"/>
  <c r="G16" i="19"/>
  <c r="M16" i="19"/>
  <c r="G17" i="19"/>
  <c r="M17" i="19"/>
  <c r="G18" i="19"/>
  <c r="M18" i="19"/>
  <c r="G19" i="19"/>
  <c r="M19" i="19"/>
  <c r="G20" i="19"/>
  <c r="M20" i="19"/>
  <c r="G21" i="19"/>
  <c r="M21" i="19"/>
  <c r="G22" i="19"/>
  <c r="M22" i="19"/>
  <c r="G23" i="19"/>
  <c r="M23" i="19"/>
  <c r="G24" i="19"/>
  <c r="M24" i="19"/>
  <c r="G25" i="19"/>
  <c r="M25" i="19"/>
  <c r="G26" i="19"/>
  <c r="M26" i="19"/>
  <c r="G27" i="19"/>
  <c r="M27" i="19"/>
  <c r="G28" i="19"/>
  <c r="M28" i="19"/>
  <c r="G29" i="19"/>
  <c r="M29" i="19"/>
  <c r="G30" i="19"/>
  <c r="M30" i="19"/>
  <c r="G31" i="19"/>
  <c r="M31" i="19"/>
  <c r="G32" i="19"/>
  <c r="M32" i="19"/>
  <c r="G33" i="19"/>
  <c r="M33" i="19"/>
  <c r="G34" i="19"/>
  <c r="M34" i="19"/>
  <c r="G35" i="19"/>
  <c r="M35" i="19"/>
  <c r="G36" i="19"/>
  <c r="M36" i="19"/>
  <c r="G37" i="19"/>
  <c r="M37" i="19"/>
  <c r="G38" i="19"/>
  <c r="M38" i="19"/>
  <c r="G39" i="19"/>
  <c r="M39" i="19"/>
  <c r="G40" i="19"/>
  <c r="M40" i="19"/>
  <c r="G41" i="19"/>
  <c r="M41" i="19"/>
  <c r="G42" i="19"/>
  <c r="M42" i="19"/>
  <c r="G43" i="19"/>
  <c r="M43" i="19"/>
  <c r="G44" i="19"/>
  <c r="M44" i="19"/>
  <c r="G45" i="19"/>
  <c r="M45" i="19"/>
  <c r="G46" i="19"/>
  <c r="M46" i="19"/>
  <c r="G47" i="19"/>
  <c r="M47" i="19"/>
  <c r="G48" i="19"/>
  <c r="M48" i="19"/>
  <c r="G49" i="19"/>
  <c r="M49" i="19"/>
  <c r="G50" i="19"/>
  <c r="M50" i="19"/>
  <c r="G51" i="19"/>
  <c r="M51" i="19"/>
  <c r="G52" i="19"/>
  <c r="M52" i="19"/>
  <c r="G53" i="19"/>
  <c r="M53" i="19"/>
  <c r="G54" i="19"/>
  <c r="M54" i="19"/>
  <c r="G55" i="19"/>
  <c r="M55" i="19"/>
  <c r="G56" i="19"/>
  <c r="M56" i="19"/>
  <c r="G57" i="19"/>
  <c r="M57" i="19"/>
  <c r="G58" i="19"/>
  <c r="M58" i="19"/>
  <c r="G59" i="19"/>
  <c r="M59" i="19"/>
  <c r="G60" i="19"/>
  <c r="M60" i="19"/>
  <c r="G61" i="19"/>
  <c r="M61" i="19"/>
  <c r="G62" i="19"/>
  <c r="M62" i="19"/>
  <c r="G63" i="19"/>
  <c r="M63" i="19"/>
  <c r="G64" i="19"/>
  <c r="M64" i="19"/>
  <c r="G65" i="19"/>
  <c r="M65" i="19"/>
  <c r="G66" i="19"/>
  <c r="M66" i="19"/>
  <c r="G67" i="19"/>
  <c r="M67" i="19"/>
  <c r="G68" i="19"/>
  <c r="M68" i="19"/>
  <c r="G69" i="19"/>
  <c r="M69" i="19"/>
  <c r="G70" i="19"/>
  <c r="M70" i="19"/>
  <c r="G71" i="19"/>
  <c r="M71" i="19"/>
  <c r="G72" i="19"/>
  <c r="M72" i="19"/>
  <c r="G73" i="19"/>
  <c r="M73" i="19"/>
  <c r="G74" i="19"/>
  <c r="M74" i="19"/>
  <c r="G75" i="19"/>
  <c r="M75" i="19"/>
  <c r="G76" i="19"/>
  <c r="M76" i="19"/>
  <c r="G77" i="19"/>
  <c r="M77" i="19"/>
  <c r="G78" i="19"/>
  <c r="M78" i="19"/>
  <c r="G79" i="19"/>
  <c r="M79" i="19"/>
  <c r="G80" i="19"/>
  <c r="M80" i="19"/>
  <c r="G81" i="19"/>
  <c r="M81" i="19"/>
  <c r="G82" i="19"/>
  <c r="M82" i="19"/>
  <c r="G83" i="19"/>
  <c r="M83" i="19"/>
  <c r="G84" i="19"/>
  <c r="M84" i="19"/>
  <c r="G85" i="19"/>
  <c r="M85" i="19"/>
  <c r="G86" i="19"/>
  <c r="M86" i="19"/>
  <c r="G87" i="19"/>
  <c r="M87" i="19"/>
  <c r="G88" i="19"/>
  <c r="M88" i="19"/>
  <c r="G89" i="19"/>
  <c r="M89" i="19"/>
  <c r="G90" i="19"/>
  <c r="M90" i="19"/>
  <c r="G91" i="19"/>
  <c r="M91" i="19"/>
  <c r="G92" i="19"/>
  <c r="M92" i="19"/>
  <c r="G93" i="19"/>
  <c r="M93" i="19"/>
  <c r="G94" i="19"/>
  <c r="M94" i="19"/>
  <c r="G95" i="19"/>
  <c r="M95" i="19"/>
  <c r="G96" i="19"/>
  <c r="M96" i="19"/>
  <c r="G97" i="19"/>
  <c r="M97" i="19"/>
  <c r="G98" i="19"/>
  <c r="M98" i="19"/>
  <c r="G99" i="19"/>
  <c r="M99" i="19"/>
  <c r="G100" i="19"/>
  <c r="M100" i="19"/>
  <c r="G101" i="19"/>
  <c r="M101" i="19"/>
  <c r="G102" i="19"/>
  <c r="M102" i="19"/>
  <c r="G103" i="19"/>
  <c r="M103" i="19"/>
  <c r="G104" i="19"/>
  <c r="M104" i="19"/>
  <c r="G105" i="19"/>
  <c r="M105" i="19"/>
  <c r="G106" i="19"/>
  <c r="M106" i="19"/>
  <c r="G107" i="19"/>
  <c r="M107" i="19"/>
  <c r="G108" i="19"/>
  <c r="M108" i="19"/>
  <c r="G109" i="19"/>
  <c r="M109" i="19"/>
  <c r="G110" i="19"/>
  <c r="M110" i="19"/>
  <c r="G111" i="19"/>
  <c r="M111" i="19"/>
  <c r="G112" i="19"/>
  <c r="M112" i="19"/>
  <c r="G113" i="19"/>
  <c r="M113" i="19"/>
  <c r="G114" i="19"/>
  <c r="M114" i="19"/>
  <c r="J3" i="33"/>
  <c r="J4" i="33"/>
  <c r="J5" i="33"/>
  <c r="J6" i="33"/>
  <c r="B11" i="33"/>
  <c r="B12" i="33" s="1"/>
  <c r="B13" i="33" s="1"/>
  <c r="B14" i="33" s="1"/>
  <c r="B15" i="33" s="1"/>
  <c r="B16" i="33" s="1"/>
  <c r="B17" i="33" s="1"/>
  <c r="B18" i="33" s="1"/>
  <c r="B19" i="33" s="1"/>
  <c r="B20" i="33" s="1"/>
  <c r="B21" i="33" s="1"/>
  <c r="B22" i="33" s="1"/>
  <c r="B23" i="33" s="1"/>
  <c r="B24" i="33" s="1"/>
  <c r="B25" i="33" s="1"/>
  <c r="B26" i="33" s="1"/>
  <c r="B27" i="33" s="1"/>
  <c r="B28" i="33" s="1"/>
  <c r="B29" i="33" s="1"/>
  <c r="B30" i="33" s="1"/>
  <c r="B31" i="33" s="1"/>
  <c r="B32" i="33" s="1"/>
  <c r="B33" i="33" s="1"/>
  <c r="B34" i="33" s="1"/>
  <c r="B35" i="33" s="1"/>
  <c r="B36" i="33" s="1"/>
  <c r="B37" i="33" s="1"/>
  <c r="B38" i="33" s="1"/>
  <c r="B39" i="33" s="1"/>
  <c r="B40" i="33" s="1"/>
  <c r="B41" i="33" s="1"/>
  <c r="B42" i="33" s="1"/>
  <c r="B43" i="33" s="1"/>
  <c r="B44" i="33" s="1"/>
  <c r="B45" i="33" s="1"/>
  <c r="B46" i="33" s="1"/>
  <c r="B47" i="33" s="1"/>
  <c r="B48" i="33" s="1"/>
  <c r="B49" i="33" s="1"/>
  <c r="B50" i="33" s="1"/>
  <c r="B51" i="33" s="1"/>
  <c r="B52" i="33" s="1"/>
  <c r="B53" i="33" s="1"/>
  <c r="B54" i="33" s="1"/>
  <c r="B55" i="33" s="1"/>
  <c r="B56" i="33" s="1"/>
  <c r="B57" i="33" s="1"/>
  <c r="B58" i="33" s="1"/>
  <c r="B59" i="33" s="1"/>
  <c r="B60" i="33" s="1"/>
  <c r="B61" i="33" s="1"/>
  <c r="B62" i="33" s="1"/>
  <c r="B63" i="33" s="1"/>
  <c r="B64" i="33" s="1"/>
  <c r="B65" i="33" s="1"/>
  <c r="B66" i="33" s="1"/>
  <c r="B67" i="33" s="1"/>
  <c r="B68" i="33" s="1"/>
  <c r="B69" i="33" s="1"/>
  <c r="B70" i="33" s="1"/>
  <c r="B71" i="33" s="1"/>
  <c r="B72" i="33" s="1"/>
  <c r="B73" i="33" s="1"/>
  <c r="B74" i="33" s="1"/>
  <c r="B75" i="33" s="1"/>
  <c r="B76" i="33" s="1"/>
  <c r="B77" i="33" s="1"/>
  <c r="B78" i="33" s="1"/>
  <c r="B79" i="33" s="1"/>
  <c r="B80" i="33" s="1"/>
  <c r="B81" i="33" s="1"/>
  <c r="B82" i="33" s="1"/>
  <c r="B83" i="33" s="1"/>
  <c r="B84" i="33" s="1"/>
  <c r="B85" i="33" s="1"/>
  <c r="B86" i="33" s="1"/>
  <c r="B87" i="33" s="1"/>
  <c r="B88" i="33" s="1"/>
  <c r="B89" i="33" s="1"/>
  <c r="B90" i="33" s="1"/>
  <c r="B91" i="33" s="1"/>
  <c r="B92" i="33" s="1"/>
  <c r="B93" i="33" s="1"/>
  <c r="B94" i="33" s="1"/>
  <c r="B95" i="33" s="1"/>
  <c r="B96" i="33" s="1"/>
  <c r="B97" i="33" s="1"/>
  <c r="B98" i="33" s="1"/>
  <c r="B99" i="33" s="1"/>
  <c r="B100" i="33" s="1"/>
  <c r="B101" i="33" s="1"/>
  <c r="B102" i="33" s="1"/>
  <c r="B103" i="33" s="1"/>
  <c r="B104" i="33" s="1"/>
  <c r="B105" i="33" s="1"/>
  <c r="B106" i="33" s="1"/>
  <c r="B107" i="33" s="1"/>
  <c r="B108" i="33" s="1"/>
  <c r="B109" i="33" s="1"/>
  <c r="B110" i="33" s="1"/>
  <c r="B111" i="33" s="1"/>
  <c r="B112" i="33" s="1"/>
  <c r="B113" i="33" s="1"/>
  <c r="B114" i="33" s="1"/>
  <c r="B115" i="33" s="1"/>
  <c r="B116" i="33" s="1"/>
  <c r="B117" i="33" s="1"/>
  <c r="B118" i="33" s="1"/>
  <c r="B119" i="33" s="1"/>
  <c r="B120" i="33" s="1"/>
  <c r="B121" i="33" s="1"/>
  <c r="B122" i="33" s="1"/>
  <c r="B123" i="33" s="1"/>
  <c r="B124" i="33" s="1"/>
  <c r="B125" i="33" s="1"/>
  <c r="B126" i="33" s="1"/>
  <c r="B127" i="33" s="1"/>
  <c r="B128" i="33" s="1"/>
  <c r="B129" i="33" s="1"/>
  <c r="B130" i="33" s="1"/>
  <c r="B131" i="33" s="1"/>
  <c r="B132" i="33" s="1"/>
  <c r="B133" i="33" s="1"/>
  <c r="B134" i="33" s="1"/>
  <c r="B135" i="33" s="1"/>
  <c r="B136" i="33" s="1"/>
  <c r="B137" i="33" s="1"/>
  <c r="B138" i="33" s="1"/>
  <c r="B139" i="33" s="1"/>
  <c r="B140" i="33" s="1"/>
  <c r="B141" i="33" s="1"/>
  <c r="B142" i="33" s="1"/>
  <c r="B143" i="33" s="1"/>
  <c r="B144" i="33" s="1"/>
  <c r="B145" i="33" s="1"/>
  <c r="B146" i="33" s="1"/>
  <c r="B147" i="33" s="1"/>
  <c r="B148" i="33" s="1"/>
  <c r="B149" i="33" s="1"/>
  <c r="B150" i="33" s="1"/>
  <c r="B151" i="33" s="1"/>
  <c r="B152" i="33" s="1"/>
  <c r="B153" i="33" s="1"/>
  <c r="B154" i="33" s="1"/>
  <c r="B155" i="33" s="1"/>
  <c r="B156" i="33" s="1"/>
  <c r="B157" i="33" s="1"/>
  <c r="B158" i="33" s="1"/>
  <c r="B159" i="33" s="1"/>
  <c r="B160" i="33" s="1"/>
  <c r="J3" i="32"/>
  <c r="J4" i="32"/>
  <c r="J5" i="32"/>
  <c r="J6" i="32"/>
  <c r="B11" i="32"/>
  <c r="B12" i="32" s="1"/>
  <c r="B13" i="32" s="1"/>
  <c r="B14" i="32" s="1"/>
  <c r="B15" i="32" s="1"/>
  <c r="B16" i="32" s="1"/>
  <c r="B17" i="32" s="1"/>
  <c r="B18" i="32" s="1"/>
  <c r="B19" i="32" s="1"/>
  <c r="B20" i="32" s="1"/>
  <c r="B21" i="32" s="1"/>
  <c r="B22" i="32" s="1"/>
  <c r="B23" i="32" s="1"/>
  <c r="B24" i="32" s="1"/>
  <c r="B25" i="32" s="1"/>
  <c r="B26" i="32" s="1"/>
  <c r="B27" i="32" s="1"/>
  <c r="B28" i="32" s="1"/>
  <c r="B29" i="32" s="1"/>
  <c r="B30" i="32" s="1"/>
  <c r="B31" i="32" s="1"/>
  <c r="B32" i="32" s="1"/>
  <c r="B33" i="32" s="1"/>
  <c r="B34" i="32" s="1"/>
  <c r="B35" i="32" s="1"/>
  <c r="B36" i="32" s="1"/>
  <c r="B37" i="32" s="1"/>
  <c r="B38" i="32" s="1"/>
  <c r="B39" i="32" s="1"/>
  <c r="B40" i="32" s="1"/>
  <c r="B41" i="32" s="1"/>
  <c r="B42" i="32" s="1"/>
  <c r="B43" i="32" s="1"/>
  <c r="B44" i="32" s="1"/>
  <c r="B45" i="32" s="1"/>
  <c r="B46" i="32" s="1"/>
  <c r="B47" i="32" s="1"/>
  <c r="B48" i="32" s="1"/>
  <c r="B49" i="32" s="1"/>
  <c r="B50" i="32" s="1"/>
  <c r="B51" i="32" s="1"/>
  <c r="B52" i="32" s="1"/>
  <c r="B53" i="32" s="1"/>
  <c r="B54" i="32" s="1"/>
  <c r="B55" i="32" s="1"/>
  <c r="B56" i="32" s="1"/>
  <c r="J3" i="31"/>
  <c r="J4" i="31"/>
  <c r="J5" i="31"/>
  <c r="J6" i="31"/>
  <c r="B11" i="31"/>
  <c r="B12" i="31" s="1"/>
  <c r="J3" i="30"/>
  <c r="J4" i="30"/>
  <c r="J5" i="30"/>
  <c r="J6" i="30"/>
  <c r="B11" i="30"/>
  <c r="B12" i="30"/>
  <c r="B13" i="30"/>
  <c r="B14" i="30" s="1"/>
  <c r="B15" i="30" s="1"/>
  <c r="B16" i="30" s="1"/>
  <c r="B17" i="30" s="1"/>
  <c r="B18" i="30" s="1"/>
  <c r="B19" i="30" s="1"/>
  <c r="B20" i="30" s="1"/>
  <c r="B21" i="30" s="1"/>
  <c r="B22" i="30" s="1"/>
  <c r="B23" i="30" s="1"/>
  <c r="B24" i="30" s="1"/>
  <c r="B25" i="30" s="1"/>
  <c r="B26" i="30" s="1"/>
  <c r="B27" i="30" s="1"/>
  <c r="B28" i="30" s="1"/>
  <c r="B29" i="30" s="1"/>
  <c r="B30" i="30" s="1"/>
  <c r="B31" i="30" s="1"/>
  <c r="B32" i="30" s="1"/>
  <c r="B33" i="30" s="1"/>
  <c r="B34" i="30" s="1"/>
  <c r="B35" i="30" s="1"/>
  <c r="J3" i="26"/>
  <c r="J4" i="26"/>
  <c r="J5" i="26"/>
  <c r="J6" i="26"/>
  <c r="B11" i="26"/>
  <c r="B12" i="26"/>
  <c r="B13" i="26" s="1"/>
  <c r="B14" i="26" s="1"/>
  <c r="B15" i="26" s="1"/>
  <c r="B16" i="26" s="1"/>
  <c r="B17" i="26" s="1"/>
  <c r="B18" i="26" s="1"/>
  <c r="B19" i="26" s="1"/>
  <c r="B20" i="26" s="1"/>
  <c r="J3" i="22"/>
  <c r="J4" i="22"/>
  <c r="J5" i="22"/>
  <c r="J6" i="22"/>
  <c r="B11" i="22"/>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J3" i="18"/>
  <c r="J4" i="18"/>
  <c r="J5" i="18"/>
  <c r="J6" i="18"/>
  <c r="B11" i="18"/>
  <c r="B12" i="18" s="1"/>
  <c r="J3" i="17"/>
  <c r="J4" i="17"/>
  <c r="J5" i="17"/>
  <c r="J6" i="17"/>
  <c r="B11" i="17"/>
  <c r="B12" i="17" s="1"/>
  <c r="B13" i="17" s="1"/>
  <c r="B14" i="17" s="1"/>
  <c r="B15" i="17" s="1"/>
  <c r="B16" i="17" s="1"/>
  <c r="B17" i="17" s="1"/>
  <c r="B18" i="17" s="1"/>
  <c r="B19" i="17" s="1"/>
  <c r="J3" i="16"/>
  <c r="J4" i="16"/>
  <c r="J5" i="16"/>
  <c r="J6" i="16"/>
  <c r="B11" i="16"/>
  <c r="J3" i="15"/>
  <c r="J4" i="15"/>
  <c r="J5" i="15"/>
  <c r="J6" i="15"/>
  <c r="B11" i="15"/>
  <c r="B12" i="15" s="1"/>
  <c r="B13" i="15" s="1"/>
  <c r="B14" i="15" s="1"/>
  <c r="J3" i="13"/>
  <c r="J4" i="13"/>
  <c r="J5" i="13"/>
  <c r="J6" i="13"/>
  <c r="B11" i="13"/>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F10" i="2"/>
  <c r="J7" i="32" l="1"/>
  <c r="K3" i="32" s="1"/>
  <c r="J7" i="31"/>
  <c r="K6" i="31" s="1"/>
  <c r="B13" i="31"/>
  <c r="B14" i="31" s="1"/>
  <c r="B15" i="31" s="1"/>
  <c r="B16" i="31" s="1"/>
  <c r="B17" i="31" s="1"/>
  <c r="B18" i="31" s="1"/>
  <c r="B19" i="31" s="1"/>
  <c r="B20" i="31" s="1"/>
  <c r="B21" i="31" s="1"/>
  <c r="B22" i="31" s="1"/>
  <c r="B23" i="31" s="1"/>
  <c r="B24" i="31" s="1"/>
  <c r="B25" i="31" s="1"/>
  <c r="B26" i="31" s="1"/>
  <c r="B27" i="31" s="1"/>
  <c r="B28" i="31" s="1"/>
  <c r="B29" i="31" s="1"/>
  <c r="B30" i="31" s="1"/>
  <c r="B31" i="31" s="1"/>
  <c r="B32" i="31" s="1"/>
  <c r="B33" i="31" s="1"/>
  <c r="B34" i="31" s="1"/>
  <c r="B35" i="31" s="1"/>
  <c r="B36" i="31" s="1"/>
  <c r="B37" i="31" s="1"/>
  <c r="B38" i="31" s="1"/>
  <c r="B39" i="31" s="1"/>
  <c r="B40" i="31" s="1"/>
  <c r="B41" i="31" s="1"/>
  <c r="B42" i="31" s="1"/>
  <c r="B43" i="31" s="1"/>
  <c r="B44" i="31" s="1"/>
  <c r="B13" i="18"/>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J7" i="15"/>
  <c r="K4" i="15" s="1"/>
  <c r="J7" i="26"/>
  <c r="J8" i="26" s="1"/>
  <c r="J7" i="18"/>
  <c r="K3" i="18" s="1"/>
  <c r="J7" i="22"/>
  <c r="K6" i="22" s="1"/>
  <c r="J7" i="30"/>
  <c r="K3" i="30" s="1"/>
  <c r="B12" i="16"/>
  <c r="B13" i="16" s="1"/>
  <c r="B14" i="16" s="1"/>
  <c r="B15" i="16" s="1"/>
  <c r="B16" i="16" s="1"/>
  <c r="B17" i="16" s="1"/>
  <c r="B18" i="16" s="1"/>
  <c r="B19" i="16" s="1"/>
  <c r="B20" i="16" s="1"/>
  <c r="B21" i="16" s="1"/>
  <c r="B22" i="16" s="1"/>
  <c r="B23" i="16" s="1"/>
  <c r="B24" i="16" s="1"/>
  <c r="B25" i="16" s="1"/>
  <c r="B26" i="16" s="1"/>
  <c r="B27" i="16" s="1"/>
  <c r="J7" i="17"/>
  <c r="K5" i="17" s="1"/>
  <c r="J7" i="16"/>
  <c r="K4" i="16" s="1"/>
  <c r="J7" i="33"/>
  <c r="K5" i="33" s="1"/>
  <c r="J7" i="13"/>
  <c r="K4" i="13" s="1"/>
  <c r="K5" i="30" l="1"/>
  <c r="K6" i="26"/>
  <c r="K3" i="33"/>
  <c r="J8" i="15"/>
  <c r="J8" i="13"/>
  <c r="K6" i="33"/>
  <c r="J8" i="33"/>
  <c r="K5" i="32"/>
  <c r="K4" i="32"/>
  <c r="K6" i="32"/>
  <c r="J8" i="30"/>
  <c r="K4" i="31"/>
  <c r="J8" i="31"/>
  <c r="K3" i="31"/>
  <c r="K5" i="31"/>
  <c r="K3" i="16"/>
  <c r="K3" i="15"/>
  <c r="K3" i="22"/>
  <c r="J8" i="22"/>
  <c r="K5" i="16"/>
  <c r="K3" i="17"/>
  <c r="K4" i="17"/>
  <c r="J8" i="16"/>
  <c r="J8" i="18"/>
  <c r="K6" i="16"/>
  <c r="K4" i="26"/>
  <c r="K5" i="26"/>
  <c r="K3" i="26"/>
  <c r="K5" i="18"/>
  <c r="J8" i="32"/>
  <c r="K6" i="30"/>
  <c r="K6" i="18"/>
  <c r="K4" i="18"/>
  <c r="K6" i="17"/>
  <c r="J8" i="17"/>
  <c r="K5" i="13"/>
  <c r="K6" i="13"/>
  <c r="K3" i="13"/>
  <c r="K4" i="30"/>
  <c r="K4" i="33"/>
  <c r="K6" i="15"/>
  <c r="K5" i="15"/>
  <c r="K4" i="22"/>
  <c r="K5" i="22"/>
  <c r="K7" i="26" l="1"/>
  <c r="K7" i="15"/>
  <c r="K7" i="13"/>
  <c r="K7" i="33"/>
  <c r="K7" i="32"/>
  <c r="K7" i="31"/>
  <c r="K7" i="16"/>
  <c r="K7" i="22"/>
  <c r="K7" i="18"/>
  <c r="K7" i="30"/>
  <c r="K7" i="17"/>
</calcChain>
</file>

<file path=xl/sharedStrings.xml><?xml version="1.0" encoding="utf-8"?>
<sst xmlns="http://schemas.openxmlformats.org/spreadsheetml/2006/main" count="4064" uniqueCount="1514">
  <si>
    <t>Project HORIZON</t>
  </si>
  <si>
    <t>Diligence Tracker</t>
  </si>
  <si>
    <t xml:space="preserve"> </t>
  </si>
  <si>
    <t>PROJECT HORIZON - Diligence Tracker</t>
  </si>
  <si>
    <t>Status</t>
  </si>
  <si>
    <t>Count</t>
  </si>
  <si>
    <t xml:space="preserve">% </t>
  </si>
  <si>
    <t>Open</t>
  </si>
  <si>
    <t>In Process</t>
  </si>
  <si>
    <t>Complete</t>
  </si>
  <si>
    <t>Defer</t>
  </si>
  <si>
    <t>Total</t>
  </si>
  <si>
    <t>#</t>
  </si>
  <si>
    <t>Buyer</t>
  </si>
  <si>
    <t>Date
Submitted</t>
  </si>
  <si>
    <t>Date Answered</t>
  </si>
  <si>
    <t>Category</t>
  </si>
  <si>
    <t>Request</t>
  </si>
  <si>
    <t>Buyer Comments</t>
  </si>
  <si>
    <t>Response</t>
  </si>
  <si>
    <t>Priority</t>
  </si>
  <si>
    <t>VDR Location</t>
  </si>
  <si>
    <t>Novo</t>
  </si>
  <si>
    <t>Financial</t>
  </si>
  <si>
    <t>Please provide historical (2023 - 2025) and projected (2025 - 2028) recurring revenue, non-recurring revenue, and gross profit for each solution offered by Horizon. If an exact figure is not able to be shared, a directional estimate would also be helpful</t>
  </si>
  <si>
    <t>The company does not track gross margin by solution. Please reference file 1.2.5.1 for financial model detail on historical and projected recurring and non recurring revenue as well as gross margin and the CARR database for historic CARR by solution.</t>
  </si>
  <si>
    <t>High</t>
  </si>
  <si>
    <t>1.2.5.1</t>
  </si>
  <si>
    <t>Commercial</t>
  </si>
  <si>
    <t>Please provide the number of existing parent customers that have been lost directly to SIS over the past five years. For avoidance of doubt, this would cover an existing customer moving their software to SIS, rather than losing an RFP</t>
  </si>
  <si>
    <t>3/8: Please clarify which customers were lost to SIS</t>
  </si>
  <si>
    <t>Parent customer churn detail posted to VDR location 1.2.6.1</t>
  </si>
  <si>
    <t>1.2.6.1</t>
  </si>
  <si>
    <t>Please provide the number of new Horizon parent customers who shifted their business directly from SIS to Horizon over the past three years (effectively, how many new logos is Horizon taking from SIS every year)</t>
  </si>
  <si>
    <t>HST began tracking won opportunities for parent customers who switched their business from SIS to HST in 2025.
For the full year 2025, HST converted 44 centers off of SIS (~$2m in ARR).  During the same time period, HST converted 18 parent customers off of SIS (~$900k in ARR).</t>
  </si>
  <si>
    <t>Please provide a financial update for Q4'25. If available, a Q4'25 P&amp;L with the line items provided in the summary P&amp;L tab of the financial model (#1.2.5.1) would be helpful</t>
  </si>
  <si>
    <t>Q4 2025 Roll Forward QoE provided via email 3/9/2026</t>
  </si>
  <si>
    <t>Please specify which solutions are included within the "Practice Management" product in the Whitespace file (#1.3.5.1)</t>
  </si>
  <si>
    <t>Practice Management whitespace only includes whitespace associated with HST's Practice Management solution.</t>
  </si>
  <si>
    <t>Sales</t>
  </si>
  <si>
    <t>Please provide average implementation time per solution. If an exact figure is not able to be shared, a directional estimate would also be helpful (We understand eChart is higher than the remaining solutions)</t>
  </si>
  <si>
    <t>Please provide total average sales cycle days per solution and other sales cycle metrics.</t>
  </si>
  <si>
    <t>Refer to VDR item 1.2.4.1 for detail on historical backlog and backlog aging trends
Please reference historical pipeline analysis in folder 1.3.4.2 - the delta between opportunity close date and opportunity open date reflects sales cycle time</t>
  </si>
  <si>
    <t>1.2.4.1, 
1.3.4.2</t>
  </si>
  <si>
    <t>Within the Historical Pipeline Analysis (#1.3.4.3), please break out "Lost to Competitor - Product Functionality" to identify opportunities lost specifically due to lack of RCM function. Given the commentary in our diligence call, we would have expected 2025 to have fewer lost opportunities due to the RCM launch, but are not seeing this trend (58 opportunities lost due to product functionality in 2024, vs. 57 in 2025)</t>
  </si>
  <si>
    <t>The company does not explicitly track losses related to a lack of RCM functionality. However, it is worth noting that the “Lost to Competitor – Product Functionality” is not the only loss field that would show a loss attributable to lack of RCM functionality. Competitors (particularly SIS) often bundle RCM with their software or use RCM as a commercial lever to reduce software pricing, which can result in RCM-driven competitive losses being recorded under “Lost to Competitor – Price” rather than product functionality.</t>
  </si>
  <si>
    <t>Please provide historical capex spend from 2021 - 2025</t>
  </si>
  <si>
    <t>Refer to VDR Index #1.2.7.1.1</t>
  </si>
  <si>
    <t>1.2.7.1.1</t>
  </si>
  <si>
    <t>Please provide a breakdown of '25E CARR by parent customer tenure, dating back 10 years (We understand you currently have provided this for the last five years). We have included a table on page 2 ("Figure #1") with brackets for the relevant figures, for your reference</t>
  </si>
  <si>
    <t>3/8: Please expand file 1.2.6.2 to include the full customer base if available.
2/6: In lieu of the detailed tenure data for the full customer base, can you provide qualitative commentary on how long the top 15 customers (i.e., Parent Customers #1- 15) have been customers of Horizon? If Horizon inherited them via acquisition (Casetabs, etc.) we’d want to see when they first became a customer of the original business</t>
  </si>
  <si>
    <t>Company does not track CARR back 10 years. Please reference file 1.2.6.2 in the VDR for information around tenure of the top 10 customers.</t>
  </si>
  <si>
    <t>1.2.6.2</t>
  </si>
  <si>
    <t>Please provide additional backup data on down sell and churn for the previous three years, with reasoning, associated ARR impact, and count of customers impacted by both down sell and churn</t>
  </si>
  <si>
    <t>3/12: Please also provide additional detail and commentary on historical downsell</t>
  </si>
  <si>
    <t>Please reference file 1.2.6.1 in the VDR for detail on parent customer churns since 2020</t>
  </si>
  <si>
    <t>Please provide the percentage of CARR subject to repricing vs. fixed escalators for the last three years, as well as the blended net price impact by solution</t>
  </si>
  <si>
    <t>Refer to VDR Index #1.2.5.5</t>
  </si>
  <si>
    <t>1.2.5.5</t>
  </si>
  <si>
    <t>Please provide the percentage of CARR generated from bundled contracts (broken out by bundle) vs. single-solution contracts</t>
  </si>
  <si>
    <t>~50% of CARR is from bundled products based on 2025E. 
Per the QoE, about ~55% of recognized revenue in 2025 was bundled solutions. The breakdown is as follows:
~10% from HST Essentials
~10% from HST One
~35% from HST One+</t>
  </si>
  <si>
    <t>Please provide the historical and projected new centers and churned centers by customer, by product</t>
  </si>
  <si>
    <t>Please reference the shared customer cube for historical new and churned centers by parent customer by product</t>
  </si>
  <si>
    <t>Please provide the historical and projected CARR bridge from starting CARR to ending CARR by product (including new sites (new centers), upsell sites (existing centers), down sell, and churned)</t>
  </si>
  <si>
    <t>Please reference the shared customer cube for historical new, upsell, down sell, and churned sites by product.
For the projection period, please reference the financial model for the bridge from beginning to ending CARR by product. Additionally, please reference page 4 in the shared financial supplement for further detail and commentary on the composition of 2026E CARR growth.</t>
  </si>
  <si>
    <t>Corporate</t>
  </si>
  <si>
    <t>Please provide a detailed cap table broken out by individual shareholder. Please include total $ invested</t>
  </si>
  <si>
    <t>Refer to VDR Index #1.1.5.2</t>
  </si>
  <si>
    <t>1.1.5.2</t>
  </si>
  <si>
    <t>Please provide Bain's current internal enterprise value mark for HST</t>
  </si>
  <si>
    <t>Will not be provided</t>
  </si>
  <si>
    <t>Please provide an overview of the expected use of proceeds for this transaction</t>
  </si>
  <si>
    <t>To be discussed at a later stage in the process</t>
  </si>
  <si>
    <t>What is Horizon's historical win rate vs. SIS?</t>
  </si>
  <si>
    <t>While exact win/loss data vs. SIS isn't something HST tracks across all opportunities, they estimate that in 2025 they had a win rate of ~60% vs. SIS on an ARR basis, and a ~65% win rate on an opportunity basis</t>
  </si>
  <si>
    <t>Please add any additional qualifiers to the CARR cube (i.e., more detail related to customer size)</t>
  </si>
  <si>
    <t>3/12: Please update VDR #1.2.5.2.2 to provide historical OR counts by center back to 2020. If not available across all customers and centers, please provide for the top customers and related centers.</t>
  </si>
  <si>
    <t>Refer to VDR Index #1.2.5.2.2
The company does not track this data historically</t>
  </si>
  <si>
    <t>1.2.5.2.2</t>
  </si>
  <si>
    <t>Please break out historical CARR by product with (1) hospital-owned, and (2) hospital JV ASCs</t>
  </si>
  <si>
    <t>3/12: Can you please provide a point-in-time estimate for how many of Horizon's current centers / how much of current CARR is hospital-affiliated?</t>
  </si>
  <si>
    <t>Discussed on 3/17 call</t>
  </si>
  <si>
    <t>Please provide further insight on customer cross sell, including the % of parent-level cross-sell that represents new customers "scaling up" versus cross-sell to established customers</t>
  </si>
  <si>
    <t>3/12:  We are trying to understand the breakdown of cross -sell related to new ASCs (existing parent customer opens new asc (de novo) or acquires new asc through M&amp;A) vs. cross-sell related to existing parent customer centers (parent customer has had this center open and HST is now selling to this new center)</t>
  </si>
  <si>
    <t>Please provide the main reasons for historical backlog cancellations (including the percent of total cancellations)</t>
  </si>
  <si>
    <t>A main reason for historical backlog cancelations is driven by de novos entering the backlog before they are built / opened. In the event that the de novo does not open, this opportunity then drops from the backlog.
The other main reason for historical backlog cancellation is operational delays on the customer side, such as changed or deferred implementation / changes in customer go-live timeline, or internal IT reprioritization. These can render the original scope or timing obsolete and require the opportunity to be removed from backlog.</t>
  </si>
  <si>
    <t>Please provide historical sales team productivity metrics (e.g., tenure, quotas, % quota attainments)</t>
  </si>
  <si>
    <t>Refer to VDR Index #1.3.2.2</t>
  </si>
  <si>
    <t>1.3.2.2</t>
  </si>
  <si>
    <t>Please provide the latest 2026 pipeline</t>
  </si>
  <si>
    <t>Will be provided at end of Q1</t>
  </si>
  <si>
    <t>Please provide additional detail on centers acquired through existing customer M&amp;A (including the number of centers and CARR value)</t>
  </si>
  <si>
    <t xml:space="preserve">Company does not track customer M&amp;A. These are captured within upsell from existing customers, and the data does not distinguish whether new centers were added through acquisitions or de novo expansion, or centers converting from a competitor </t>
  </si>
  <si>
    <t>Employees</t>
  </si>
  <si>
    <t>Please provide more detailed historical headcount detail, including termination date &amp; voluntary v. involuntary termination</t>
  </si>
  <si>
    <t>Refer to VDR Index #1.4.2.4</t>
  </si>
  <si>
    <t>Medium</t>
  </si>
  <si>
    <t>1.4.2.4</t>
  </si>
  <si>
    <t>Please provide management projections through 2030</t>
  </si>
  <si>
    <t>Please provide additional detail on historical M&amp;A (i.e., purchase price, implied valuation multiples, number of customers acquired (and the related CARR value))</t>
  </si>
  <si>
    <t>Low</t>
  </si>
  <si>
    <t>Customer</t>
  </si>
  <si>
    <t>Please provide a customer mapping between the CARR cube and the pipeline file</t>
  </si>
  <si>
    <t>Please provide historical financials from 2020-2022</t>
  </si>
  <si>
    <t>Refer to VDR Index #1.2.5.6.1</t>
  </si>
  <si>
    <t>1.2.5.6.1</t>
  </si>
  <si>
    <t>As a follow-up to #19, please provide directional commentary on specialty type and directional commentary on number of ORs for centers tagged as "not tracked" in VDR Index #1.2.5.2.2</t>
  </si>
  <si>
    <t>For OR data gaps, the majority of the gap (~100 records) is due to customer types that are not ASCs (mgmt companies, Anesthesia Groups, Physician Office records will not have OR data),
For specialty gaps, it is partially due to the above dynamic. For the remaining gap,  can assume the same distribution at the rest of the customer set</t>
  </si>
  <si>
    <t>Please provide financials for January and February 2026, including performance vs. budget and prior year</t>
  </si>
  <si>
    <t>Refer to VDR Index #1.2.5.7</t>
  </si>
  <si>
    <t>1.2.5.7</t>
  </si>
  <si>
    <t>Please extend the historical pipeline analysis (VDR Index #1.3.4.2) to opportunities with a close date back to Q1 2022</t>
  </si>
  <si>
    <t>HST does not track detailed historical pipeline data prior to 2024</t>
  </si>
  <si>
    <t>As a follow-up to #24, please provide the latest 2026 pipeline, as well as a update on pipeline opportunities scheduled to close in Q1'26. If available, please extend the pipeline file to include opportunities beyond 2026</t>
  </si>
  <si>
    <t>Refer to VDR Index #1.3.4.3 for updated historical pipeline through Feb'26</t>
  </si>
  <si>
    <t>1.3.4.3</t>
  </si>
  <si>
    <t>Please provide the breakdown between ASCs and surgical hospitals served for Surgery Partners, given recent activist activity surround SP's surgical hospital business 
https://ascnews.com/2026/03/activist-investor-calls-for-sweeping-changes-at-surgery-partners-urges-divestiture-of-surgical-hospitals/</t>
  </si>
  <si>
    <t>The SP Surgical hospitals do not use HST, so the company does not have any insights into this portion of their business other than what is publicly known</t>
  </si>
  <si>
    <t>Will any MIP proceeds be realized as part of the transaction? What is the unrealized MIP value at a $950m valuation? What does the unrealized MIP value equate to in fully diluted ownership of Horizon?</t>
  </si>
  <si>
    <t>The Company understands that Novo is in communication with Bain and Bain will be providing this answer.</t>
  </si>
  <si>
    <t>Please extend the quota file (VDR #1.3.2.2.1) to show 2021 - 2023 and the 2026 budget. If available, please also provide the number of opportunities that correspond with this data</t>
  </si>
  <si>
    <t>Refer to VDR Index #1.3.2.2.3</t>
  </si>
  <si>
    <t>1.3.2.2.3</t>
  </si>
  <si>
    <t>Please provide a more detailed breakdown of the RCM projection in the financial model (VDR #1.2.5.1), including a breakout of starting centers net change into new centers / churned centers, and a breakout of starting CARR net change into new sites / upsell sites / downsell / churned by customer (similar to how practice management is displayed)</t>
  </si>
  <si>
    <t>Additional RCM detail can be found in VDR Index #1.2.5.3</t>
  </si>
  <si>
    <t>1.2.5.3</t>
  </si>
  <si>
    <t>In addition to VDR# 1.3.1.3, please provide any internal analysis (e.g., an excerpt from board materials) the team has completed on the opportunity set in RCM, including market sizing, specific service offerings, key customers, competitive landscape, and go-to-market strategy</t>
  </si>
  <si>
    <t>Additional RCM Detail found in VDR Index #1.2.5.3
Please refer to the RCM white space calculation in the CIM.  The majority of the Company's customers they view to be highly addressable
Refer to VDR Index #1.3.1.10</t>
  </si>
  <si>
    <t>1.2.5.3 &amp; 1.3.1.10</t>
  </si>
  <si>
    <t>As discussed in the management meeting, please provide additional context on the 15% decline in USPI CARR in 2022</t>
  </si>
  <si>
    <t>Churn was from SimpleAdmit, an acquired Patient Engagement product that HST acquired and re-platformed. A large part of the churn was the result of an agreement with SEEMA 4</t>
  </si>
  <si>
    <t>As discussed in the management meeting, please confirm the pricing escalator in the latest contract with Surgery Partners (management indicated it was roughly 3% - 3.5%)</t>
  </si>
  <si>
    <t>Lesser of 1) the percentage increase in the Consumer Price Index for All Urban Consumers (CPI-U) for the most recent measurement period, published by the Bureau of Labor Statistics, over the preceding 12 months, or 2) 3%</t>
  </si>
  <si>
    <t>As a follow-up to question #12, please provide a key for the CARR cube indicating whether or not each center enrolls in Horizon as part of a bundle (and if so, please provide the name of the bundle). If available, please provide historicals back to 2022</t>
  </si>
  <si>
    <t>Please provide the source data with contract data by parent customer for the Price Increase Detail file (VDR #1.2.5.5.1). In addition, we would expect that the total number of price increases would correspond to the total number of centers, but this number seems materially lower (~1,000 price increases in 2025 vs ~1,800 centers). Is this because some management company contracts that cover multiple centers only show up as 1 contract here, or is something else driving this?</t>
  </si>
  <si>
    <t>Please provide a schedule outlining how CARR is allocated to each product in each bundle offered by the company</t>
  </si>
  <si>
    <t>HST One+
-	eChart 55%
-	PM 36%
-	CC 9%
HST One
-	PM 85%
-	CC 15%
HST Platinum 
-	eChart 55%
-	PM 36%
-	CC 4.5%
-	Clariti 4.5%</t>
  </si>
  <si>
    <t>As a follow-up to #39, please provide any other available detail on GTM, customer targeting, which specific services are the biggest pain point for customers (collections vs. denials vs. coding, etc.), and any ROI calculations / value proposition info they've used in pitches.</t>
  </si>
  <si>
    <t xml:space="preserve">Please provide any data around the average bad debt rate and average cost to collect for HST’s customers or ASCs more generally (both managed and independent) </t>
  </si>
  <si>
    <t>Please provide any performance/ROI data for Compass when using Synergen RCM services</t>
  </si>
  <si>
    <t>Please provide context around why the legacy (pre-2020) cohort of patient engagement CARR dropped from ~$1.3m in 2023 to ~$0.7m in 2024. Please also provide context on why net retention for patient engagement was only 81% in 2025 and 61% in 2024</t>
  </si>
  <si>
    <t>Simple Admit acquisition and sunset the product.  New product was not ready for market fit. New Patient Engagement platform rolled out in 2025 and has been very well received by the market</t>
  </si>
  <si>
    <t>For the last 15 contract renewals (please include Surgery Partners and SCA as part of this list), please provide the list of price changes from contract to contract, including the base price for core bundles offered as a part of each contract</t>
  </si>
  <si>
    <t>Please define what "new business" represents in the pipeline files. Are these new centers within existing parent customers or are these entirely new parent customers? We are somewhat confused as there are 46 opportunities in the historical pipeline  from the Big 5 that are classified as "new business"</t>
  </si>
  <si>
    <t>Please provide the renewal date of the most recent USPI contract (currently redacted on the contract)</t>
  </si>
  <si>
    <t>Refer to VDR Index #1.6.4.11</t>
  </si>
  <si>
    <t>1.6.4.11</t>
  </si>
  <si>
    <t>Legal</t>
  </si>
  <si>
    <t>The customer contracts uploaded to the VDR are all redacted for customer information, pricing, and certain terms and metrics (such as liability caps). Could you please upload unredacted copies of the customer contracts?</t>
  </si>
  <si>
    <t>x</t>
  </si>
  <si>
    <t>Please provide a turnover breakdown by customer location for each country in which the Target generated revenue during its preceding financial year.</t>
  </si>
  <si>
    <t xml:space="preserve">We understand HST's only revenues outside the US are from Canada. Please confirm HST's (i) Canadian revenue did not exceed $60m in HST's previous fiscal year, and (ii) assets in Canada (if any) do not exceed $60m. </t>
  </si>
  <si>
    <t>Does not apply. HST currently only has one customer outside the US
Confirming HST does not have greater than $60m in revenue in Canada. Confirming HST does not have greater than $60m of assets in Canada.</t>
  </si>
  <si>
    <t xml:space="preserve">Please confirm whether the Target has a 10% or greater share in any product / geographic market where the Target generated revenue during its preceding financial year. </t>
  </si>
  <si>
    <t>The Company does not formally track market share by product or geography</t>
  </si>
  <si>
    <t>Please confirm whether the Target has any (i) subsidiaries, (ii) assets, (iii) branches, (iv) offices, (v) other permanent establishments, (vi) personnel, and/or (vii) land interests, outside of the U.S. If yes, please provide a list of countries and include the type of presence and nature of the Target’s activities in each.</t>
  </si>
  <si>
    <t>Outside of HST's contractors located abroad, please confirm HST does not have any (i) subsidiaries, (ii) assets, (iii) branches, (iv) offices, (v) other permanent establishments, and/or (vi) land interests, outside of the U.S.</t>
  </si>
  <si>
    <t>HST currently only has one customer outside the US (located in Canada). Any individual that resides outside the US is a contractor. Refer to VDR Index #1.4.2 for the Contractor Census.
Confirming HST does not have any (i) subsidiaries, (ii) assets, (iii) branches, (iv) offices, (v) other permanent establishments, and/or (vi) land interests, outside of the U.S.</t>
  </si>
  <si>
    <t>1.4.2</t>
  </si>
  <si>
    <t>Please explain whether the Target has any government contracts in any country and/or has made any direct sales to any governmental agencies (including the military and/or security agencies) in the last five years.</t>
  </si>
  <si>
    <t>N/A</t>
  </si>
  <si>
    <t>Please explain whether the Target has any contractual relationships (whether direct or indirect, e.g., through distributors) with companies active in the defense industry in the last five years</t>
  </si>
  <si>
    <t>The Company’s principal place of business / headquarters</t>
  </si>
  <si>
    <t>Nashville, TN</t>
  </si>
  <si>
    <t>The Company’s legal entities (including topco, if any, and subsidiaries), and the jurisdiction under which each entity is organized.</t>
  </si>
  <si>
    <t>Refer to VDR Index #1.1.1, 1.1.2, and 1.1.4</t>
  </si>
  <si>
    <t>1.1.1, 1.1.2, 1.1.4</t>
  </si>
  <si>
    <t>Countries where the Company has offices / operations and/or subsidiaries</t>
  </si>
  <si>
    <t>United States of America</t>
  </si>
  <si>
    <t>Countries where the Company has employees, personnel, or contractors</t>
  </si>
  <si>
    <t>United States of America. Any individual that resides outside the US is a contractor. Refer to VDR folder #1.4.2 for the Employee and Contractor Censuses</t>
  </si>
  <si>
    <t>1.4.2.2
1.4.2.3</t>
  </si>
  <si>
    <t>Countries where the Company has registered IP</t>
  </si>
  <si>
    <t>All trademark registration is in the US. Please reference VDR Index #1.5.1</t>
  </si>
  <si>
    <t>1.5.1</t>
  </si>
  <si>
    <t>A listing and description of all of the Company’s products, software (including SaaS software), and proprietary technology.</t>
  </si>
  <si>
    <t>Refer to VDR index #1.8.1 and 1.8.2 for all products. Refer to VDR 1.8.5 for all proprietary software. The Company has developed ancillary systems that integrate with these major systems, mostly for internal processes (IT ticketing system, organizing customers, etc.) that are not included, but these are minor systems.</t>
  </si>
  <si>
    <t>1.8.1, 1.8.2, 1.8.5</t>
  </si>
  <si>
    <t>The U.S. export control classifications of all items identified in 2.a above (whether exported or not), along with how such classifications were determined (e.g., self-classification, by counsel, by CCATS, etc.)</t>
  </si>
  <si>
    <t>3/18 - The U.S. export control classifications are relevant for Buyer's CFIUS analysis.  Please provide classifications as requested, even for items that have not been exported. Buyer will be seeking a representation regarding CFIUS "critical technologies".</t>
  </si>
  <si>
    <t>Not applicable. HST currently only has one customer outside the U.S. Given the company does not engage in exports, considers this request not applicable</t>
  </si>
  <si>
    <t>Locations where the Company’s products and technologies are designed/developed/tested/etc.</t>
  </si>
  <si>
    <t>Product design, development, and testing activities are conducted by Company employees working remotely across the United States rather than at a single centralized facility. A significant portion of the product and engineering team is located in California, with additional personnel located in other U.S. states</t>
  </si>
  <si>
    <t xml:space="preserve">Locations where the Company has technical infrastructure (e.g., location of cloud hosted applications, data). </t>
  </si>
  <si>
    <t>For U.S. customers, all but one are hosted in the us-east-1 region of AWS (provider does not disclose details).  One customer is still on CSpire, so hosted in Nashville with fallback to Birmingham.</t>
  </si>
  <si>
    <t>Description of data collected by the Company in the provision of its services and what subset of that data is stored.</t>
  </si>
  <si>
    <t>Most of the data used across products is consolidated into the Company’s data lake, which is built on AWS Redshift and includes product data as well as Salesforce data. This data lake serves as the central repository for stored data, and was completed and released to customers as a product in 2023.
In connection with the use of the Company’s platform, ASC staff enter and manage certain patient-related information within the system as part of clinical and administrative workflows. Depending on the specific use case and configuration, this information may include patient name, date of birth, appointment or procedure date, eligibility information, insurance information, and details related to the healthcare services being provided.</t>
  </si>
  <si>
    <t>Does the Company collect any of the following types of data?  If so, please describe. 
i.	Biometric identifiers
ii.	Human genomic data
iii.	The results of any individual’s genetic test or genetic sequencing
iv.	Human epigenomic, proteomic, or transcriptomic data (excluding pathogen-specific data)
v.	Any geolocation data (e.g., via cell towers, mobile phones, wearables)
vi.	Precise geolocation data (i.e., data that identifies physical location with a precision of greater than 1,000 meters)
vii.	Personal health data (i.e., data that indicates, reveals, or describes the past, present, or future physical or mental health or condition of an individual; the provision of healthcare to an individual; or the past, present, or future payment for the provision of healthcare to an individual)
viii.	Personal financial data (i.e., data about an individual’s credit, charge, or debit card, or bank account, including e.g., purchase history)
ix.	Covered personal identifiers (e.g., government ID numbers, financial account numbers, device identifiers, demographic or contact data, advertising IDs, account authorization data, network identifiers (such as IP address), call detail information).
x.	Consumer report data
xi.	Insurance application data
xii.	Non-public communications (e.g., electronic chat)
xiii.	Biometric enrollment data</t>
  </si>
  <si>
    <t>(i) Biometric identifiers - NA
(ii) Human genomic data - NA
(iii) Results of genetic tests or genetic sequencing - NA
(iv) Human epigenomic, proteomic, or transcriptomic data - NA
(v) Geolocation data - NA
(vi) Precise geolocation data - NA
(vii) Personal health data - The Company processes patient health information entered by ambulatory surgery center staff as part of clinical and administrative workflows, including patient demographics, procedure or appointment information, eligibility details, and information related to healthcare services provided 
(viii) Personal financial data - The platform may process insurance-related billing and payment information associated with healthcare services, to the extent entered by the customer
(ix) Covered personal identifiers - The Company may process certain patient identifiers entered by customers, such as name, date of birth, contact information, and insurance identifiers, in connection with scheduling, clinical, and billing workflows
(x) Consumer report data - NA
(xi) Insurance application data The Company may process insurance eligibility and coverage information entered by the customer in connection with verifying patient coverage for services
(xii) Non-public communications (e.g., electronic chat) - No material collection beyond standard communications functionality within the platform
(xiii) Biometric enrollment data - NA</t>
  </si>
  <si>
    <t>Number of individuals for/on whom the Company has data specified in 11</t>
  </si>
  <si>
    <t>Estimated to be ~20M-40M. The company does deduplicate patient records across the system and therefore does not maintain a precise count of unique patient records</t>
  </si>
  <si>
    <t>List of the top 10 customers for the Company’s products and services, and country where located.</t>
  </si>
  <si>
    <t>Refer to VDR Index #1.2.5.4.2</t>
  </si>
  <si>
    <t>1.2.5.4.2</t>
  </si>
  <si>
    <t>Any U.S. or foreign government customers served by the Company, directly or indirectly</t>
  </si>
  <si>
    <t>None</t>
  </si>
  <si>
    <t>Any funding received from U.S. or foreign government sources</t>
  </si>
  <si>
    <t>Any vendors, contractors, employees, or investors located in China, Cuba, Iran, North Korea, Russia, or Venezuela.</t>
  </si>
  <si>
    <t>Any operations, subsidiaries, JVs, or invested companies in China</t>
  </si>
  <si>
    <t>NA</t>
  </si>
  <si>
    <t>Any other significant ties or connections to China or Russia (e.g., investors in the company backed by money from Chinese or Russian sources, etc.).</t>
  </si>
  <si>
    <t>Insurance</t>
  </si>
  <si>
    <t>Complete copies of current business insurance policies (property and casualty) including locally admitted insurance policies purchased outside the U.S. and copies of full policies</t>
  </si>
  <si>
    <t>Please provide a current copy of the Hartford package policy. Only the 2024 form is in the VDR.
We also noted a 6-year policy with Philadelphia noted in the "Insurance Premium Detail by Period (2025)" document; it is unclear what this policy is, but please provide if relevant.</t>
  </si>
  <si>
    <t>Refer to VDR Index # 1.7.1, 1.7.2.7-10,  1.1.8, and 1.7.2.13</t>
  </si>
  <si>
    <t>Critical</t>
  </si>
  <si>
    <t>1.7.1, 1.7.2.7-10, 1.1.8 &amp; 1.7.2.13</t>
  </si>
  <si>
    <t>Carrier loss runs (valued within the past 60 days) for the past 5 complete years for all lines of coverage</t>
  </si>
  <si>
    <t>Loss summary and loss runs provided are valued as of 11/25 and 08/25, respectively, please provide loss history valued within the last 60 days for all lines of coverage.
Or, as it appears there are no claims on the losses provided, please provide a signed no-known-loss letter that states there have been no claims for all lines of coverage in the past five years.</t>
  </si>
  <si>
    <t>Refer to VDR Index #1.7.3. Additional documents uploaded</t>
  </si>
  <si>
    <t>1.7.3</t>
  </si>
  <si>
    <t>Current insurance schedule/summary and most recent renewal proposal, specifying all coverage purchased, insurers, renewal dates, premiums, limits, deductibles/retentions, and any material changes to the program/pricing at renewal</t>
  </si>
  <si>
    <t>Partially expired schedule provided. Please provide current schedule that reflects all in-force coverages.</t>
  </si>
  <si>
    <t>Refer to VDR Index #1.7.2</t>
  </si>
  <si>
    <t>1.7.2</t>
  </si>
  <si>
    <t>Copy of most recent applications for coverage, such as executive risk (D&amp;O, EPL, fiduciary liability, and crime), cyber, professional liability/E&amp;O, pollution, etc. where applicable</t>
  </si>
  <si>
    <t>Annual work comp expense paid to ADP TotalSource PEO</t>
  </si>
  <si>
    <t>Workers Comp is covered in HST's service fee to ADP.  The actual Workers Comp expense is the responsibility of ADP</t>
  </si>
  <si>
    <t>Annual work comp expense paid to respective state funds for any monopolistic WC coverage (i.e., ND, OH, WA, WY)</t>
  </si>
  <si>
    <t>Current year's work comp experience modification worksheets (NCCI and state bureaus), if available</t>
  </si>
  <si>
    <t>Current exposure workbook from your broker</t>
  </si>
  <si>
    <t>Summary of threatened, pending, and recently settled litigation, whether insured or uninsured</t>
  </si>
  <si>
    <t xml:space="preserve">In January 2025, HST received a notice of claim and conference regarding an employee whose employment was terminated in 2021. He is asking HST for vacation wages and severance pay in addition to what The Company offered him at his termination date, but the company believes his claims are without merit and are already working on having them dismissed. 
This claim was dismissed by the Labor Commissioner's Office as of 3/4/26 and documentation can be found in VDR Index #1.5.5
</t>
  </si>
  <si>
    <t>1.5.5</t>
  </si>
  <si>
    <t>Copies of property leases and representative major customer, vendor, supplier, contractor/subcontractor, and/or outsourcing agreements (especially those with specific insurance requirements)</t>
  </si>
  <si>
    <t>Various contracts provided. Please confirm there are no other contracts (customer, etc.) that may have specific insurance requirements.</t>
  </si>
  <si>
    <t>Confirming there are no others</t>
  </si>
  <si>
    <t>Benefits</t>
  </si>
  <si>
    <t>Are all employees offered the same selection of benefits? If so, provide renewal date for all H&amp;W plans. If the benefit offering varies by class/location/etc, provide a brief explanation of the differences here.</t>
  </si>
  <si>
    <t>Plans appear to run on a 6/1 plan year basis - please confirm.</t>
  </si>
  <si>
    <t>Yes, renew in May of every year</t>
  </si>
  <si>
    <t>Has the Company made any acquisitions in prior years? If so, please provide a summary of these acquisitions, confirm whether benefits diligence was conducted and if any material issues were identified, and summarize how benefits (both H&amp;W and 401k) were handled at closing (e.g. left behind/terminated, assumed and merged, assumed and maintained separately etc.).</t>
  </si>
  <si>
    <t>The Company has acquired SimpleAdmit, SimplifyASC, Clariti, and JLM OAS CAHPS
All employees that joined HST via acquisition are covered under the same plans.</t>
  </si>
  <si>
    <t>Confirm the legal company name(s) &amp; EIN(s) of the benefit plan sponsor(s). If the health &amp; welfare benefits and retirement plans are sponsored by different entities, note that here as well.</t>
  </si>
  <si>
    <t>Health and Welfare Plan:
ADP TotalSource, Inc.,
EIN: 59-3216484
Refer to VDR Index #1.4.10</t>
  </si>
  <si>
    <t>Confirm</t>
  </si>
  <si>
    <t>1.4.10</t>
  </si>
  <si>
    <t>Is the Company participating in any health &amp; welfare programs sponsored by third parties, including but not limited to captive arrangements, PEOs, MEWAs, or programs sponsored by a parent or holding company?</t>
  </si>
  <si>
    <t xml:space="preserve">Please provide the PEO Service agreement or contract document. </t>
  </si>
  <si>
    <t>Reference VDR #1.4.7 &amp; 1.4.7.7</t>
  </si>
  <si>
    <t>1.4.7 &amp; 1.4.7.7</t>
  </si>
  <si>
    <t>Has the Company ever been considered an Applicable Large Employer (ALE) with regard to the Patient Protection and Affordable Care Act (PPACA)? An ALE is an employer that averaged 50+ FTEs in the prior calendar year.</t>
  </si>
  <si>
    <t xml:space="preserve">Yes </t>
  </si>
  <si>
    <t>What are the eligibility requirements for participation on the health and welfare plans? When do new hires become eligible to enroll?</t>
  </si>
  <si>
    <t>Handbook notes that FTEs are working at least 40 hours per week, and part-time are working less than 30.</t>
  </si>
  <si>
    <t>Refer to VDR #1.4.7.
Employees are eligible to participate in the ADP TotalSource Health and Welfare Plan if they are regular full-time or part-time employees scheduled to work at least 30 hours per week, meet applicable residency/service area requirements, are classified in an eligible employee class by the worksite employer, and complete the applicable waiting period.
New hires become eligible for medical, dental, vision, and FSA benefits on the first day of the month following completion of the waiting period (or immediately if the waiting period ends on the first day of a month)</t>
  </si>
  <si>
    <t>1.4.7</t>
  </si>
  <si>
    <t xml:space="preserve">Are any benefits offered to retirees or terminated employees beyond those required under COBRA?  </t>
  </si>
  <si>
    <t>No</t>
  </si>
  <si>
    <t xml:space="preserve">Is anyone currently on COBRA? If so, when does their participation expire?  </t>
  </si>
  <si>
    <t>Please elaborate - does this mean there are currently no COBRA participants?</t>
  </si>
  <si>
    <t>Company not liable for any COBRA coverage
Confirming the company does not have any employees on COBRA. If an employee left and elected cobra with ADP, HST would not be liable or aware.</t>
  </si>
  <si>
    <t>Confirm the current payroll/HRIS vendor &amp; the current payroll frequency.</t>
  </si>
  <si>
    <t>Payroll vendor is ADP Total Source. Paid semi-monthly</t>
  </si>
  <si>
    <t>Are any employment or severance agreements currently in force which make promises of additional benefits beyond the standard offering made to all employees?</t>
  </si>
  <si>
    <t>Yes, Dave Thawley, Susan Kane and Nick Latz. Refer to VDR Index # 1.1.6</t>
  </si>
  <si>
    <t>1.1.6</t>
  </si>
  <si>
    <t>Are there any key person life insurance policies, special executive benefits or nonqualified plans? If so, provide related details and/or plan documents and policies.</t>
  </si>
  <si>
    <t xml:space="preserve">Is the Company party to any collective bargaining agreements? If so, please confirm whether the Company is required to provide contributions to multiemployer health, welfare, and/or pension funds or if the CBA(s) mandate union employees be eligible to participate in Company-sponsored benefits. </t>
  </si>
  <si>
    <t>The Company is not party to any collective bargaining agreements, and none of its employees are represented by a labor union. Accordingly, the Company is not required to make contributions to any multiemployer health, welfare, or pension funds, nor are any employees subject to union-mandated benefit participation
Refer to VDR Index #1.4.8</t>
  </si>
  <si>
    <t>1.4.8</t>
  </si>
  <si>
    <t>Are there any employees international locations who are offered benefits beyond those required by local laws?</t>
  </si>
  <si>
    <t>The Company does not have any employees outside of the U.S.</t>
  </si>
  <si>
    <t>Policy/Certs/SPDs
(Medical/RX, Dental, Vision, Life/AD&amp;D, STD, LTD, FSA, HSa, HRA</t>
  </si>
  <si>
    <t xml:space="preserve">Documents included in Index 1.4.7 are not individual carrier contracts. If not available due to the PEO arrangement, please confirm. </t>
  </si>
  <si>
    <t>Reference VDR Index #1.4.7.7 and 1.4.7.8
confirming not available due to PEO arrangement</t>
  </si>
  <si>
    <t>1.4.7 &amp; 1.4.7.8</t>
  </si>
  <si>
    <t>Benefit Summaries
(Medical/RX, Dental, Vision, Life/AD&amp;D, STD, LTD, FSA, HSa, HRA)</t>
  </si>
  <si>
    <t>Carrier-generated benefit summaries not provided. If unavailable due to the PEO arrangement, please confirm.</t>
  </si>
  <si>
    <t>Reference VDR Index #1.4.4 and #1.4.7
confirming not available due to PEO arrangement</t>
  </si>
  <si>
    <t>1.4.4 &amp; 1.4.7</t>
  </si>
  <si>
    <t>Additional Documents
(Cafeteria Plan, Wrap Plan, Medican Plan SBC, COBRA contract)</t>
  </si>
  <si>
    <t>Index 1.4.9 does not include requested documentation.
Medical SBCs not provided, these docs are generated by the medical carrier (Aetna).</t>
  </si>
  <si>
    <t>Company provides mentioned benefits through a PEO arrangement and related benefit documentation is maintained at PEO level rather than by the Company
Refer to VDR Index #1.4.9 and 1.4.7.8, There are no separate documents since the company is a PEO
Refer to VDR Index #1.4.7.9</t>
  </si>
  <si>
    <t>1.4.9, 1.4.7.8, 1.4.7.9</t>
  </si>
  <si>
    <r>
      <t xml:space="preserve">Current census file for all employees (active, temp, LOA, etc.). Reference the </t>
    </r>
    <r>
      <rPr>
        <b/>
        <sz val="8"/>
        <color theme="1"/>
        <rFont val="Segoe UI"/>
        <family val="2"/>
      </rPr>
      <t>'Benefit Census Template'</t>
    </r>
    <r>
      <rPr>
        <sz val="11"/>
        <color theme="1"/>
        <rFont val="Aptos Narrow"/>
        <family val="2"/>
        <scheme val="minor"/>
      </rPr>
      <t xml:space="preserve"> tab to see the required fields, including demographic &amp; benefit enrollment information. If any premium discounts or surcharges are assessed (tobacco, wellness, etc.), indicate appropriately.</t>
    </r>
  </si>
  <si>
    <t xml:space="preserve">Census files provided do not include employee benefit enrollment information. Please refer to the "Benefit Census Template" for requested data fields. </t>
  </si>
  <si>
    <t>Reference census in VDR #1.4.2.7</t>
  </si>
  <si>
    <t>1.4.2.7</t>
  </si>
  <si>
    <t>Current employee benefits guide/open enrollment guide provided to employees.</t>
  </si>
  <si>
    <t xml:space="preserve">Benefit guide not included.
Noted that benefits overview doc provided - is there any document the Company can provide which shows the plan designs for each employee benefit plan? </t>
  </si>
  <si>
    <t>Refer to VDR Index #1.4.7.2, #1.4.4 and #1.4.7.9</t>
  </si>
  <si>
    <t>1.4.7.2, 1.4.4 &amp; 1.4.7.9</t>
  </si>
  <si>
    <t>Most recent two months of itemized carrier/administrator invoices for each plan/benefit.</t>
  </si>
  <si>
    <t>Refer to VDR Index #1.4.7.5</t>
  </si>
  <si>
    <t>1.4.7.5</t>
  </si>
  <si>
    <t>Current employee handbook(s).</t>
  </si>
  <si>
    <t>Refer to VDR Index #1.4.3</t>
  </si>
  <si>
    <t>1.4.3</t>
  </si>
  <si>
    <t>Monthly Premium/Funding Rates by plan &amp; coverage tier</t>
  </si>
  <si>
    <t>Employee Contribution Rates by plan and coverage tier</t>
  </si>
  <si>
    <t>Please provide for life and disability plans, if applicable.</t>
  </si>
  <si>
    <t>Refer to VDR Index #1.4.4.2 page 5
HST pays 100% of 1 times salary term life policy, STD &amp; LTD premiums.  Any voluntary contributions would be paid for by employee</t>
  </si>
  <si>
    <t>1.4.4.2</t>
  </si>
  <si>
    <t>Most recent renewal for each line of coverage. If any year-end claims experience review or utilization reporting was provided with the renewals, include those as well.</t>
  </si>
  <si>
    <t>Renewal documents not included in this index.</t>
  </si>
  <si>
    <t>Reference VDR Index #1.4.7
Renewal for 26-27 doesn't take place until May 2026.</t>
  </si>
  <si>
    <t>Are any of the health and welfare benefits self-insured or level-funded? If yes, the remaining questions in this Section apply. If no, confirm all plans are fully insured &amp; the remaining rows can be closed out and collapsed.</t>
  </si>
  <si>
    <t>Full stop-loss policy &amp; all ASO/administrator agreement(s) (including all rates, fees, rebates, etc.) for the medical/Rx program. Include all attachments referenced in either document as well.</t>
  </si>
  <si>
    <t>Applicable if answer to 24 is Yes</t>
  </si>
  <si>
    <t>For the two (2) most recently completed plan years, as well as current plan year-to-date, provide paid claim experience by month with corresponding monthly enrollment for any self-funded benefits.</t>
  </si>
  <si>
    <t>Large claimant reporting for the two (2) most recently completed plan years &amp; current YTD showing claimants with claims paid at 50% of the specific deductible or higher including diagnosis, amount paid-to-date, and prognosis.</t>
  </si>
  <si>
    <t>Have there been any specific or aggregate stop-loss reimbursements over the past two years &amp; current YTD? If so, provide reporting that outlines how much was received for each plan year. (This may be included in Request 3.4 or 3.5 as well).</t>
  </si>
  <si>
    <t xml:space="preserve">Claims lag triangles showing last 24 months paid vs. last 36 or more previous months incurred used to calculate an IBNR estimate. </t>
  </si>
  <si>
    <t>Confirmation of the amount currently being accrued for claims IBNR by plan (if any), and latest actuarial valuation as applicable.</t>
  </si>
  <si>
    <t>Have there been any known failures to maintain the medical program in compliance with the PPACA? Has the Company received a Letter 226J from the IRS detailing penalties associated with the PPACA at any time? If so, explain any corrective actions being undertaken to remedy these failures &amp; provide documentation of any correspondence with the IRS.</t>
  </si>
  <si>
    <t>Provide a copy of the 1094-C filing(s) and 1095-C statements for 2022-2024.</t>
  </si>
  <si>
    <t xml:space="preserve">Understood that the data provided is reflective of the submitted filings, but for diligence purposes we need the actual 1094-C filings to review. </t>
  </si>
  <si>
    <t>Documents in VDR Index #1.9.3 reflect final submitted filings. Additional documents added</t>
  </si>
  <si>
    <t>1.9.3.10 - 1.9.3.12</t>
  </si>
  <si>
    <t>Confirm any state reporting requirements (applicable for CA, DC, MA, NJ, and RI) are currently being met.</t>
  </si>
  <si>
    <t xml:space="preserve">N/A if there are no operations in these respective states </t>
  </si>
  <si>
    <t>Confirmed</t>
  </si>
  <si>
    <t xml:space="preserve">Confirm the Company has submitted CAA (Rx) reporting for the most recent plan year. </t>
  </si>
  <si>
    <t>Confirming 2024 Filed.  ADP is in the process of prepping the 2025 and the carrier will file by June 1</t>
  </si>
  <si>
    <t>Forms 5500 for all health and welfare plans for the six most recent years.</t>
  </si>
  <si>
    <t>N/A if under 100 EE's</t>
  </si>
  <si>
    <t>Refer to VDR Index #1.9.1</t>
  </si>
  <si>
    <t>1.9.1</t>
  </si>
  <si>
    <t>For the three most recently completed plan years, provide the non-discrimination testing results for the health &amp; welfare benefit programs. (Tests apply if any of the following plans are offered: group life insurance, self-funded medical/Rx, section 125 plan, FSA, HSA) If such tests are not performed, provide explanation. Note - This testing is separate from the annual 401(k) compliance testing.</t>
  </si>
  <si>
    <t xml:space="preserve">This request refers to nondiscrimination testing for the benefit plans, separate from the retirement plan. </t>
  </si>
  <si>
    <t>ADP TotalSource is the Plan sponsor and administrator. As such ADP TS ensures that all required filings under CAA 2021 are completed on behalf of the Plan. These included the RxDC filing, Gag Attestation, as well as the 408(b) filings and others. 
ADP TotalSource, as the Plan sponsor of a fully insured plan is not able to disclose any of the claims experiences to the client, since these are aggregated and include all of our client's employees and their dependents. These are not available on a client per client basis.
Also, please note that ADP TotalSource conducts all nondiscrimination testing on the ADP TotalSource Health &amp; Welfare Plan as required under IRC Sections 125, 129 and 105(h) on an annual basis – this includes the FSA testing and is conducted in the aggregate and not at the client level. The Plan has passed all tests for the most recent plan years.</t>
  </si>
  <si>
    <t>Provide a copy of the most recent Form 720 filing for PCORI fees.</t>
  </si>
  <si>
    <t>Applicable if the answer to 24 is "yes"</t>
  </si>
  <si>
    <t>A list of all defined contribution (such as 401k plans) and defined benefit (such as traditional or cash balance pension plans) plans sponsored directly by the company during the last six years.</t>
  </si>
  <si>
    <t>Please confirm if the "Healthcare Systems &amp; Technologies, LLC 401(k) Plan &amp; Trust" is the only employer-sponsored retirement program available.</t>
  </si>
  <si>
    <t>Confirming 401k plans are the only employer-sponsored retirement plan. Refer to VDR Index #1.4.10</t>
  </si>
  <si>
    <t>All retirement plan documents (adoption agreement, plan document, summary plan description, and loan policy if applicable) as of the latest restatement date. Include any amendments made since the restatement date as well. If there are participating employer or related employer agreements for the plan, provide the executed copies of those as well.</t>
  </si>
  <si>
    <t>Plan documentation requested not provided.</t>
  </si>
  <si>
    <t>Refer to VDR Index #1.4.10</t>
  </si>
  <si>
    <t>Prior year and current year-to-date employer contribution totals. If the Company currently makes a discretionary matching contribution or profit-sharing contributions, include the formulas for those contributions in the comments.</t>
  </si>
  <si>
    <t>Refer to the 401k financial statements in VDR folder #1.4.10</t>
  </si>
  <si>
    <t>1.4.10.3
1.4.10.4</t>
  </si>
  <si>
    <t>Most recent IRS determination letter or prototype opinion letter.</t>
  </si>
  <si>
    <t>IRS determination letter not provided.</t>
  </si>
  <si>
    <t>Refer to VDR Index #1.4.10.9.13</t>
  </si>
  <si>
    <t>1.4.10.9.13</t>
  </si>
  <si>
    <t>Current value of assets in the plan, broken down by investment. If there are outstanding participant loans from the plan, provide a breakdown including the principal amount, remaining balance, and anticipated payoff date for each loan.</t>
  </si>
  <si>
    <t>Copy of service provider contract, including participant and sponsor fee schedule, as well as the amount of fees paid to plan service providers by the Company. (Include all services providers, such as trustees, custodians, actuaries, auditors, record keepers, etc.).</t>
  </si>
  <si>
    <t>Noted that ADP is plan administrator; please provide service agreement or contract.</t>
  </si>
  <si>
    <t>Refer to VDR Index #1.4.10 &amp; 1.4.7.5 &amp; 1.4.10.9.14, 1,4,7,7</t>
  </si>
  <si>
    <t>1.4.10 &amp; 1.4.7.5 &amp; 1.4.10.9.14, and 1.4.7.7</t>
  </si>
  <si>
    <t>Investment Policy Statement, if one has been adopted.</t>
  </si>
  <si>
    <t>Refer to VDR Index #1.4.13</t>
  </si>
  <si>
    <t>1.4.13</t>
  </si>
  <si>
    <t>Outside of any employees excluded from participation per the adoption agreement (union employees, non-resident aliens, etc.), are any other employees of your controlled group excluded from participating in the retirement plan?  If yes, explain who is excluded and why.</t>
  </si>
  <si>
    <t>Has the plan undergone an IRS or DOL audit in the past six years? If yes, provide any findings and evidence of any required corrective actions taken.</t>
  </si>
  <si>
    <t>Index 1.9.2 does not confirm if plan has undergone an audit in the past 6 years; please confirm.</t>
  </si>
  <si>
    <t>Refer to VDR Index #1.9.2
HST has not undergone an IRS or DOL audit in the past 6 years</t>
  </si>
  <si>
    <t>1.9.2</t>
  </si>
  <si>
    <t xml:space="preserve">Have any operational defects in the administration of the plan been identified in the last six plan years? This includes untimely contributions or late loan payments. If yes, describe the issue and the anticipated or completed corrective actions taken. </t>
  </si>
  <si>
    <t>Do you have variable hour employees?  If yes, how do you monitor hours to ensure compliance with regard to plan eligibility?</t>
  </si>
  <si>
    <t>The Company has 2 variable hour employees who clock in and out in the ADP system</t>
  </si>
  <si>
    <t xml:space="preserve">Has the Company commenced, or planning to commence, changing the employer matching contribution formula or employer 401(k) contribution methodology?  </t>
  </si>
  <si>
    <t>The Company does not plan on changing the employer matching contribution formula or employer 401K contribution methodology</t>
  </si>
  <si>
    <t>Provide 401(k) compliance testing results for the six most recent years, including testing results and all backup to support findings. Describe corrective action taken for any failures. Required testing includes the ADP/ACP, top heavy, 402(g) limit, 415 annual additions, and 410(b) coverage tests. Note - safe harbor plans are only exempt from the ADP/ACP &amp; top heavy testing. The remaining tests are still required.</t>
  </si>
  <si>
    <t>Please provide testing data going back to 2020 plan year, if available.</t>
  </si>
  <si>
    <t>2021 and 2022 tests have been uploaded to VDR Index 1.4.10.9.11 and 1.4.10.9.12
2020 not available</t>
  </si>
  <si>
    <t>Forms 5500 for the 401(k) plan for the six most recent years (include all schedules and audited financial statements, as applicable).</t>
  </si>
  <si>
    <t xml:space="preserve">Copy of the fidelity bond. </t>
  </si>
  <si>
    <t>Refer to VDR Index #1.4.14</t>
  </si>
  <si>
    <t>1.4.14</t>
  </si>
  <si>
    <t>Participant notices delivered in the past year (i.e. 404(a), safe-harbor, SAR, etc.), as applicable.</t>
  </si>
  <si>
    <t>Refer to VDR Index #1.4.7.6</t>
  </si>
  <si>
    <t>1.4.7.6</t>
  </si>
  <si>
    <t xml:space="preserve">Monthly general ledger detail at the same level as the information provided in the functional P&amp;L provided in the PWC databook, which should include vendor information where available.
</t>
  </si>
  <si>
    <t>Monthly: Jan23 through Dec25</t>
  </si>
  <si>
    <t>GL detail will not be provided</t>
  </si>
  <si>
    <t xml:space="preserve">Confirming receipt of FY23 and FY24 audited financial statements; however, could unredacted versions be provided, as well as FY25 to the extent available (or draft). Include detail of any Management letter comments and proposed or passed audit adjustments, to the extent available.
</t>
  </si>
  <si>
    <t>FY25 (if/when available)
A&amp;M (3.18.26): Provide unredacted version of FY23 and FY24 audit, as well as Management letter comments and proposed or passed audit adjustments, to the extent available.</t>
  </si>
  <si>
    <t>FY 2025 Audit will not be completed until April 2025
Updated versions posted into VDR Index #1.2.2.1 &amp; 1.2.2.2</t>
  </si>
  <si>
    <t>1.2.2.1 &amp; 1.2.2.2</t>
  </si>
  <si>
    <t xml:space="preserve">Access to review the audit work papers prepared in connection with the audited financial statements. This will require your external auditors to prepare an access letter.
</t>
  </si>
  <si>
    <t>FY24 or FY25 (if available)</t>
  </si>
  <si>
    <t xml:space="preserve">Monthly internal financial statements or internal reporting packages prepared by Management and used to analyze the operations of the business.
</t>
  </si>
  <si>
    <t>Will not be provided.</t>
  </si>
  <si>
    <t xml:space="preserve">Provide monthly reported trial balance and monthly composition of adjusted EBITDA (monthly add-backs summary) for JL Morgan &amp; Associates acquisition from Jan23-Dec25 that supports the schedule on pg. 13 of the PWC report (QoE 9).
</t>
  </si>
  <si>
    <t>Monthly: Jan23 through Dec25
A&amp;M (3.18.26): Acknowledging receipt of purchase agreement. Provide underlying trial balance used to support the acquisition on a monthly basis.
A&amp;M (3.23.26): Acknowledging receipt of Income Statement through Nov25. Provide income statement for Dec25.</t>
  </si>
  <si>
    <t>Refer to VDR Index #1.1.1.3
Trial balance unavailable, please reference for cash basis income statement (vdr #1.2.10.1)
3/23 follow up: Dec 25 income statement not yet available.</t>
  </si>
  <si>
    <t>1.1.1.3
1.2.10.1</t>
  </si>
  <si>
    <t xml:space="preserve">Monthly revenue by customer, by product, by GL account. 
</t>
  </si>
  <si>
    <t>The company only tracks CARR on a product basis, and does not actively track revenue by product. The CARR cube will provide product CARR, by center and parent - regardless of if they are a bundled solution. However, for revenue, it is tracked by bundles (e.g., HST One)
Further GL detail will not be provided</t>
  </si>
  <si>
    <t xml:space="preserve">Invoice / billings database by customer, by product, by GL account.
</t>
  </si>
  <si>
    <t>The company only tracks CARR on a product basis, and does not actively track revenue by product. Customer are invoiced on a bundle basis (if applicable), and HST does not reallocate billings from bundles to individual products. 
Further GL detail will not be provided</t>
  </si>
  <si>
    <t>Provide operational and financial backlog rollforward (with supporting detail linked that shows customer buildup of each bucket) (e.g. New Business Wins, Go live, Cancellations, Change Orders and &amp; Adjustments).</t>
  </si>
  <si>
    <t>Monthly or quarterly: Jan23 through Dec25</t>
  </si>
  <si>
    <t>N/A. All detail available has been provided</t>
  </si>
  <si>
    <t xml:space="preserve">In file "1.2.4.1 HORIZON - Backlog Aging (January 2026)", provide additional columns for go-live date, cancellation date, and billing date.
</t>
  </si>
  <si>
    <t xml:space="preserve">Sample of the most significant contracts, particularly including the following, as applicable: 
i. Customer contracts (please include all SOWs, amendments and renewal, as applicable) - top 10
ii. Material vendor and/or partner agreements (e.g. Synergen, Global Payments, etc.)
</t>
  </si>
  <si>
    <t>Monthly: Jan23 through Dec25
A&amp;M (3.16.26): Acknowledging standard contracts uploaded to folder 1.6.1. (including Partnership Agreements). Provide top customer contracts.</t>
  </si>
  <si>
    <t>Refer to VDR Index #1.6.4 and 1.6.5</t>
  </si>
  <si>
    <t>1.6.4 &amp; 1.6.5</t>
  </si>
  <si>
    <t xml:space="preserve">Monthly or quarterly summary of costs incurred by vendor. Fulfilled by request #2 if provided.
</t>
  </si>
  <si>
    <t>Monthly: Jan23 through Dec25
A&amp;M (3.16.26): Acknowledging vendor spend details in the 2.Financials.Vendor spend folder through Jun25. Provide through Dec25.</t>
  </si>
  <si>
    <t>Refer to VDR index #1.2.3.2</t>
  </si>
  <si>
    <t>1.2.3.2</t>
  </si>
  <si>
    <t xml:space="preserve">Accounts receivables aging reports by customer. If necessary, include a reconciliation of these reports to the trial balance.
</t>
  </si>
  <si>
    <t xml:space="preserve">Monthly: Jan23 to Dec25
Priority for Dec23, Dec24, and Dec25
</t>
  </si>
  <si>
    <t>Refer to VDR Index #1.2.7</t>
  </si>
  <si>
    <t>1.2.7</t>
  </si>
  <si>
    <t xml:space="preserve">Monthly breakout of prepaid expenses/other current assets and reconciliation to the trial balance, if necessary. Provide for the following accounts:
12013 - Prepaid Software Expenses
12010 - Prepaid Expenses
</t>
  </si>
  <si>
    <t>Monthly: Jan23 to Dec25
Priority for Dec24 through Dec25
A&amp;M (3.18.26): Re-opened request. Provide underlying vendor balances for the accounts listed that reconcile to the balance sheet.</t>
  </si>
  <si>
    <t>Refer to VDR Index #1.2.8 &amp; 1.2.7.6</t>
  </si>
  <si>
    <t>1.2.8 &amp; 1.2.7.6</t>
  </si>
  <si>
    <t xml:space="preserve">Accounts payable aging reports by vendor. If necessary, include a reconciliation of these reports to the trial balance.
</t>
  </si>
  <si>
    <t xml:space="preserve">Breakdown of accrued expenses/other current liabilities. Provide for the following accounts:
22000 - Accrued Expenses
</t>
  </si>
  <si>
    <t xml:space="preserve">Monthly: Jan23 to Dec25
Priority for Dec24 through Dec25
</t>
  </si>
  <si>
    <t>Refer to VDR Index #1.2.7.4.3</t>
  </si>
  <si>
    <t>1.2.7.4.3</t>
  </si>
  <si>
    <t xml:space="preserve">Month deferred revenue by customer by product / revenue type. If necessary, include reconciliation to the trial balance. 
</t>
  </si>
  <si>
    <t>Deferred revenue provided in QoE rollforward</t>
  </si>
  <si>
    <t xml:space="preserve">Listing of commitments and contingent liabilities (e.g., operating lease commitments, unasserted claims, litigation, guarantees, earn-outs, contingent payments, etc.). Include a brief description of the nature of the obligation and expected timing of settlement.
</t>
  </si>
  <si>
    <t>Operating lease commitments only. Refer to VDR Index #1.6.2.3</t>
  </si>
  <si>
    <t>1.6.2.3</t>
  </si>
  <si>
    <t xml:space="preserve">Detail of any litigation or outstanding claims.
</t>
  </si>
  <si>
    <t>Refer to VDR Index #1.5.5. &amp; 1.5.6</t>
  </si>
  <si>
    <t>1.5.5 &amp; 1.5.6</t>
  </si>
  <si>
    <t xml:space="preserve">Provide monthly balance for "deferred revenue – discounted billing" account #23004 for Jan23 - Jul25. (The debit balance that was netted within DR before being separately broken out in Aug25). </t>
  </si>
  <si>
    <t>Monthly: Jan23 to Dec25</t>
  </si>
  <si>
    <t>Refer to VDR Index #1.2.7.5</t>
  </si>
  <si>
    <t>1.2.7.5</t>
  </si>
  <si>
    <t>Provide the  analysis used by the management team to track and monitor gross margin by type (recurring and non-recurring), including the breakout between headcount-related costs and non-headcount costs.
Notes This should reflect whatever materials are used internally by management “off-the-shelf” (e.g., internal reports, models, schedules, or dashboards), rather than newly created analyses.</t>
  </si>
  <si>
    <t>Provide JL Morgan &amp; Associates employee census as of Dec25, which includes employee role, salary, and full-time/part-time status.</t>
  </si>
  <si>
    <t>Dec25</t>
  </si>
  <si>
    <t>Refer to VDR Index #1.4.2.9</t>
  </si>
  <si>
    <t>1.4.2.9</t>
  </si>
  <si>
    <t>Provide JL Morgan &amp; Associates balance sheet or subledger detail for AR, accruals, etc.</t>
  </si>
  <si>
    <t xml:space="preserve">FY23-FY25
If nothing is readily available - could the closing statement NWC mechanism construct be shared? Including what was calculated / estimated at closing? </t>
  </si>
  <si>
    <t>Balance sheet is not available. Refer to VDR Index #1.2.10.2 for the JLM closing statement</t>
  </si>
  <si>
    <t>1.2.10.2</t>
  </si>
  <si>
    <t xml:space="preserve">Detail and/or reclassification entries bridging the BS TB to the audited BS for Dec24 (and Dec25 if available) 
</t>
  </si>
  <si>
    <t>Tech</t>
  </si>
  <si>
    <t>Detailed organization chart for technology teams (R&amp;D, Product, IT, Security, Data, etc.) down to the individual contributor level; indicate open positions. Include individual contractors and 3rd party MSP/MSSP.</t>
  </si>
  <si>
    <t>Refer to VDR 1.4.1.1 for full organization org chart 
Additional contractor detail provided (VDR #1.4.2.3)</t>
  </si>
  <si>
    <t>1.4.1.1, 1.4.2.3</t>
  </si>
  <si>
    <t xml:space="preserve">Architectural block diagram that depict the holistic architecture of the solution. The diagrams should include front end, back end, data layer, infrastructure, hosting and any third-party integrations.  </t>
  </si>
  <si>
    <t>Refer to pg. 42 and pg. 43 of the tech study of architecture diagram (VDR #1.8.1.1)
Confirming this is the extent of information available</t>
  </si>
  <si>
    <t>1.8.1.1</t>
  </si>
  <si>
    <t>A holistic inventory list of all third party components and integrated services that are used to construct the application along with version numbers of the components (e.g., paid services, open source, and other licensed components).</t>
  </si>
  <si>
    <t xml:space="preserve">Description of third-party components and integrated services provided as part of blinded critical vendors list #1.8.3.1
</t>
  </si>
  <si>
    <t>1.8.3.1</t>
  </si>
  <si>
    <t xml:space="preserve">Critical reports and metrics used to track architectural performance, and scalability. </t>
  </si>
  <si>
    <t>HST operates primarily AWS-based, cloud architecture which leverages containerized, API-driven deployment models that provide autoscaling and load balancing</t>
  </si>
  <si>
    <t>1.8.1</t>
  </si>
  <si>
    <t>Infrastructure diagram showing compute, storage, stream, and networking systems/components and how data flows.</t>
  </si>
  <si>
    <t>Refer to pg. 87 and pg. 88 of the technology study. Additional detail on future software infrastructure delivery available on pg. 89
Additional detail on data flow available VDR Folder #1.8.6</t>
  </si>
  <si>
    <t>1.8.1.1, 1.8.6</t>
  </si>
  <si>
    <t>List of key technical debt and current mitigation status for the software solution and Infrastructure.</t>
  </si>
  <si>
    <t>Refer to pg. 50 and pg. 51 of the technology study</t>
  </si>
  <si>
    <t>Detailed public cloud invoices for last 12 months.</t>
  </si>
  <si>
    <t>Refer to VDR Index #1.8.14</t>
  </si>
  <si>
    <t>1.8.14</t>
  </si>
  <si>
    <t>Disaster Recovery / Business Continuity Plan document. Include any internal RPO, RTO, SLA, MTTR.</t>
  </si>
  <si>
    <t>Refer to disaster recovery documentation VDR #1.8.4.2.7</t>
  </si>
  <si>
    <t>1.8.4.2.7</t>
  </si>
  <si>
    <t>Description of existing AI/ML solutions in production, or currently planned for development as part of roadmap.</t>
  </si>
  <si>
    <t>Refer to pg. 110 and pg. 111 of the tech study
Additional detail on new AI products provided in VDR Folder #1.8.7</t>
  </si>
  <si>
    <t>1.8.1.1, 1.8.7</t>
  </si>
  <si>
    <t>List of AI enablement and AI development tools.</t>
  </si>
  <si>
    <t>Refer to AI &amp; ML section of technology study (pg. 107-113)</t>
  </si>
  <si>
    <t>Copies of the most recent security certification reports (SOC, HITRUST, ISO, PCI, etc.).</t>
  </si>
  <si>
    <t>Security certifications provided (VDR #1.8.4.4): SOC 2 Type 2 Report, SOC 3 Report, and HITRUST certification letter</t>
  </si>
  <si>
    <t>1.8.4.4</t>
  </si>
  <si>
    <t>A copy of information security policies and procedures.</t>
  </si>
  <si>
    <t>Refer to VDR 1.8.4.1.1 for baseline security policy
Technology study pg. 123 and pg. 126 provide additional detail on enterprise security and governance strengths and systems</t>
  </si>
  <si>
    <t>1.8.4.1.1, 1.8.1.1</t>
  </si>
  <si>
    <t>Copies of the most recent internal and external security risk assessment or security audit reports (detailed) and related remediation plans.</t>
  </si>
  <si>
    <t>Refer to folder 1.8.11 for cyber security detail including security incident and events log (VDR #1.8.11.6, #1.8.11.7)</t>
  </si>
  <si>
    <t>1.8.11</t>
  </si>
  <si>
    <t>Copies of most recent penetration testing results/reports.</t>
  </si>
  <si>
    <t>Refer to folder 1.8.4.5 for 2025 pen tests</t>
  </si>
  <si>
    <t>1.8.4.5</t>
  </si>
  <si>
    <t>A list of security related incidents (last 24 months).</t>
  </si>
  <si>
    <t>Security incidents and events log provided VDR Folder #1.8.11.6 and #1.8.11.7 for 2024 and 2025</t>
  </si>
  <si>
    <t>1.8.11.6, 1.8.11.7</t>
  </si>
  <si>
    <t>Details of any identity and access management capabilities in the products (e.g. use of 2FA, MFA, Oauth).</t>
  </si>
  <si>
    <t>MFA authentication detail provided in HST security info plan</t>
  </si>
  <si>
    <t>1.8.10.1</t>
  </si>
  <si>
    <t>Description of the end-to-end software development life cycle (SDLC) from Product Vision and Roadmap through deployment, engineering deliverables, release schedules, reports, workflow, and core tools.</t>
  </si>
  <si>
    <t>Detail on SDLC provided on pg. 77 - pg. 82 of the technology study and VDR Index #1.8.12</t>
  </si>
  <si>
    <t>1.8.1.1 and 1.8.12</t>
  </si>
  <si>
    <t>Description of all secure development practices applied in the team(s) (e.g. static code analysis, security checks on code reviews, OWASP training for developers, etc.)</t>
  </si>
  <si>
    <t>Development and QA maintain rigorous quality controls through mandatory acceptance criteria enforced via JIRA automation, dual code reviews with reviewer accountability, and integrated QA defect tracking</t>
  </si>
  <si>
    <t>Description of how confidentiality, integrity, and availability are dealt with in the architecture, including security principles of depth (e.g. data encryption, audit logging etc.).</t>
  </si>
  <si>
    <t>Confidentiality: Confidential data is encompassed within the Restricted and Private classifications, ensuring sensitive customer and internal data is protected. Endpoint disk encryption is enforced as an additional precaution to prevent unauthorized access to data. Multi-factor authentication (MFA) is mandated where available, and single sign-on (SSO) is used with vendors to enhance access security.
Integrity: Audit logging is a crucial part of maintaining integrity. Remote sessions are logged within platforms like Desktop Central, ensuring that actions are recorded and can be reviewed for any unauthorized changes. Vulnerability management is actively pursued with regular scans and prioritization of security-related fixes to ensure system integrity.
Availability: Backup and resilience strategies include regular backups across different platforms, with Veeam backups utilizing immutable storage. The deployment of an EDR solution with 24x7 SOC coverage ensures continuous monitoring and quick response to potential threats, enhancing system availability</t>
  </si>
  <si>
    <t>Please fill the information requested in Software Development and Tools worksheet</t>
  </si>
  <si>
    <t>See tab</t>
  </si>
  <si>
    <t>Please fill the R&amp;D Spend worksheet</t>
  </si>
  <si>
    <t>Refer to tech study pg. #73 for detail on planning:
There are no formal guidelines for R&amp;D spend by 
category of work performed, and no mechanisms 
in place to track actual vs. planned allocations</t>
  </si>
  <si>
    <t>Please fill the information requested in Systems Security and Infra worksheet</t>
  </si>
  <si>
    <t>Please fill the information requested in "Product Wise Breakdown" worksheet</t>
  </si>
  <si>
    <t>Tax</t>
  </si>
  <si>
    <t xml:space="preserve">Provide an overview of the parties (e.g., internal or third-party advisor/software) responsible for the following tax types:
- Federal and State Income Tax
- Gross Receipts Tax
- Sales &amp; Use Tax 
- Property Tax
- Payroll Tax
- Unclaimed Property 
</t>
  </si>
  <si>
    <t>Refer to VDR Index # 1.9.5, 1.9.6, 1.9.7, 1.9.8, and 1.9.9</t>
  </si>
  <si>
    <t>1.9.5, 1.9.6, 1.9.7, 1.9.8, &amp; 1.9.9</t>
  </si>
  <si>
    <t xml:space="preserve">A current organization chart, including all entities by full legal name, jurisdiction, date and place of formation, entity type, class of shares, and ownership percentages. Include a full history of each entity in the structure.
</t>
  </si>
  <si>
    <t>Refer to VDR Index #1.1.1</t>
  </si>
  <si>
    <t>1.1.1</t>
  </si>
  <si>
    <t xml:space="preserve">A summary of all audits (including status) for any tax, including federal, state, and local (including income/franchise, payroll, sales &amp; use, property, excise, and any other tax). Provide all significant audit correspondence. Indicate whether the statute of limitations has been extended for any period.
</t>
  </si>
  <si>
    <t>(A&amp;M 3.18.26): We acknowledge the audited financial statements provided in VDR 1.2.2. Provide a summary of any tax audits including federal, state, and local (including income/franchise, payroll, sales &amp; use, property, excise, and any other tax), as well as, all significant audit correspondence with the relevant taxing authority.</t>
  </si>
  <si>
    <t>Refer to VDR Index # 1.2.2
The Company has not been subject to any tax audits</t>
  </si>
  <si>
    <t>1.2.2</t>
  </si>
  <si>
    <t xml:space="preserve">A summary of all material tax attributes and their years of expiration. In addition, a summary of any limitations with respect to the use of such attributes.
</t>
  </si>
  <si>
    <t>Refer to VDR Index #1.9.10</t>
  </si>
  <si>
    <t>1.9.10</t>
  </si>
  <si>
    <t xml:space="preserve">Copies of the tax provision workpapers supporting the Company’s most recent financial statements, including ASC 740-10 (FIN 48) and ASC 450-20 (FAS 5) workpapers. Copy of the Company’s most recent tax provision calculation for the current period. 
</t>
  </si>
  <si>
    <t xml:space="preserve">A schedule of any significant recent acquisitions or dispositions or indemnities. Include copies of acquisition agreements. In addition, provide any related tax due diligence reports, structure slides, and a description of the manner in which the basis of any asset was stepped-up. 
</t>
  </si>
  <si>
    <t xml:space="preserve">(A&amp;M 3.18.26): We acknowledge the purchase agreement for the JL Morgan &amp; Associates, Inc. acquisition. Provide a summary of any additional acquisitions made by the Company in the last five years and provide the purchase agreement and any tax due diligence reports related to the transactions. </t>
  </si>
  <si>
    <t>Refer to VDR Index #1.1.1.3
Other transaction documents will not be provided</t>
  </si>
  <si>
    <t>1.1.1.3</t>
  </si>
  <si>
    <t xml:space="preserve">Copies of memoranda, opinions, ruling requests, or other documentation regarding tax positions taken by the Company and their affiliates relating to any material transactions or tax planning ideas.
</t>
  </si>
  <si>
    <t xml:space="preserve">Confirm whether the Company claimed any Employee Retention Credits (ERC) pursuant to the CARES Act. If so, provide: 1) detail as to qualification (decline in gross receipts and supporting financial information) or government orders (including copies of the specific orders relied upon), 2) the amounts of the credits claimed by quarter, 3) the date of receipt of each refund by quarter claimed, and 4) any analysis/memorandum prepared internally or by any third-party advisor in support of the claim. 
</t>
  </si>
  <si>
    <t>The company has not.</t>
  </si>
  <si>
    <t xml:space="preserve">Copies of the Company’s federal income tax returns for 2022 - 2024 (or open periods, if longer), including all attachments and disclosures, amendments and carryback claims.
</t>
  </si>
  <si>
    <t>(A&amp;M 3.18.26): We acknowledge the 2022 - 2024 federal income tax returns provided. Provide the unredacted federal income tax returns for 2022 - 2024, including all attachments and disclosures, amendments and carryback claims.</t>
  </si>
  <si>
    <t>Refer to VDR index #1.9.5. Additional documents added</t>
  </si>
  <si>
    <t>1.9.5</t>
  </si>
  <si>
    <t xml:space="preserve">Current estimate of taxable income for the current year or prior year for which a return has not yet been filed, inclusive of any estimated payments. 
</t>
  </si>
  <si>
    <t xml:space="preserve">(A&amp;M 3.18.26): We acknowledge the Income tax filing summary provided. Provide the current estimate of taxable income or loss for the current year or prior year for which a return has not yet been filed, inclusive of any estimated payments. </t>
  </si>
  <si>
    <t>Refer to VDR Index #1.9.6</t>
  </si>
  <si>
    <t>1.9.6</t>
  </si>
  <si>
    <t xml:space="preserve">A schedule of tax depreciation and tax amortization (intangibles/goodwill), including the placed-in-service dates and corresponding runoff.
</t>
  </si>
  <si>
    <t xml:space="preserve">(A&amp;M 3.18.26): As noted in our response to request #9, the Company's tax returns are redacted. Provide the unredacted depreciation schedule for the Company's 2022 - 2024 federal income tax returns. </t>
  </si>
  <si>
    <t>Refer to VDR index #1.9.5. Additional documents added
all necessary data is in the files currently provided</t>
  </si>
  <si>
    <t xml:space="preserve">Copies of any tax elections, including Form 8832 (Entity Classification Election) for any entity and the IRS letter confirming acceptance of such election.
</t>
  </si>
  <si>
    <t xml:space="preserve">Schedule of the Company’s outstanding debt obligations (including debt to related parties) setting forth principal and accrued interest. For each obligation, include a schedule of any differences between the accrual and payment of interest. Also include copies of any calculations related to interest deductions attributable to original issue discount and applicable high yield discount obligations. 
</t>
  </si>
  <si>
    <t xml:space="preserve">A summary schedule of the Company's state and local tax filings  (e.g., income/franchise, gross receipts, sales/use, real and personal property, payroll and unclaimed property) by state for each entity.
</t>
  </si>
  <si>
    <t>Refer to VDR Index #1.9.9</t>
  </si>
  <si>
    <t>1.9.9</t>
  </si>
  <si>
    <t xml:space="preserve">A schedule of sales by state (based on customer location), by revenue stream, for each entity for 2022 through YTD 2025.
</t>
  </si>
  <si>
    <t>(A&amp;M 3.18.26): Confirming receipt of revenue by state for 2025. 
Provide similar schedules for 2023, 2024, and 2026 YTD.</t>
  </si>
  <si>
    <t>Refer to VDR Index #1.9.7 and 1.9.8. Additional files added. 2026 not available</t>
  </si>
  <si>
    <t xml:space="preserve">1.9.7 &amp; 1.9.8 </t>
  </si>
  <si>
    <t>Copies of memoranda, workpapers, calculations and/or correspondence that details the following: 
(1) Any known exposures identified by the Company; 
(2) Any voluntary disclosure agreements entered into by the Company and relevant documentation; and/or
(3) Any uncertain tax positions or reserves for state income and non-income taxes.</t>
  </si>
  <si>
    <t xml:space="preserve">Employee census by state, for each entity, for 2022 through 2024. The schedule should include the locations of remote employees, date of hire, compensation, and date of termination (if applicable). </t>
  </si>
  <si>
    <t>Refer to VDR Index #1.4.2</t>
  </si>
  <si>
    <t xml:space="preserve">Schedule of employee interstate travel for each of the past three years. The schedule should include states traveled into, duration, and nature of travel (e.g., sales solicitation, services, trade shows).
</t>
  </si>
  <si>
    <t>Company does not track</t>
  </si>
  <si>
    <t xml:space="preserve">A summary description of any significant tax incentives or negotiated tax arrangements granted to the Company or an affiliate, including any benefits (e.g., tax credits, abatements, etc.), requirements for such benefits (e.g., job or investment thresholds), and any claw back provisions. </t>
  </si>
  <si>
    <t>Copies of all state and local income/franchise tax returns filed for the last three tax years.</t>
  </si>
  <si>
    <t xml:space="preserve">(A&amp;M 3.24.26): Received all state income tax returns for 2022 and 2023, and certain state income tax returns for 2024. 
Please provide remaining state income tax returns (e.g., CA, CT, NJ, etc.) for 2024. </t>
  </si>
  <si>
    <t>Refer to VDR Index #1.9.7. Additional documents added</t>
  </si>
  <si>
    <t>1.9.7</t>
  </si>
  <si>
    <t>(1) Schedule of any significant state modifications for the last three years, including any workpapers relating to the calculation of such modifications and 
(2) Third-party debt agreements for consolidated/combined group for income/franchise tax purposes.</t>
  </si>
  <si>
    <t>1) NA
2) Confirming nothing outside of one debt agreement</t>
  </si>
  <si>
    <t xml:space="preserve">Apportionment schedules utilized by the Company to allocate/source income for the past three years. The schedule should include a listing property, payroll, and sales, for each entity on a state by state basis.
</t>
  </si>
  <si>
    <t>(A&amp;M 3.18.26): Confirming receipt of redacted state income returns for 2023 and 2024.
Provide apportionment schedules utilized to prepare the Company's state income tax returns for 2022 through 2024.</t>
  </si>
  <si>
    <t>Refer to VDR Index #1.9.6, 1.9.13, 1.9.14, &amp;1.9.8</t>
  </si>
  <si>
    <t>1.9.6, 1.9.13, 1.9.14, &amp;1.9.8</t>
  </si>
  <si>
    <t>Copies of state and local gross receipt tax returns (including any local business license tax returns) filed by the Company filed for 2022 through the most recent filing period.</t>
  </si>
  <si>
    <t xml:space="preserve">(A&amp;M 3.24.26): Please provide copies of Washington Excise Tax returns for 2023 through 2025. </t>
  </si>
  <si>
    <t>Refer to VDR Index #1.9.7
Confirming nothing further than what has been provided</t>
  </si>
  <si>
    <t xml:space="preserve">Copies of sales/use tax returns filed for 2022 through the most recent filing period Alternatively, a schedule of jurisdictions where the Company files sales/use tax returns which includes the amounts of sales tax collected and remitted for each entity for 2022 through the most recent filing period.
</t>
  </si>
  <si>
    <t>(A&amp;M 3.18.26): Confirming receipt of the Company's sales and sellers use tax jurisdiction detail reports for 2021 through YTD September 2025.
Provide a filing schedule detailing the Company's sales tax filings by state, including when the Company initially registered for sales tax in the state.</t>
  </si>
  <si>
    <t>Refer to VDR Index #1.9.9 and 1.9.9.6</t>
  </si>
  <si>
    <t>1.9.9 &amp; 1.9.9.6</t>
  </si>
  <si>
    <t xml:space="preserve">With respect to sales tax, provide the following:
(1) Copies of any taxability matrices prepared by the Company (or a third party provider) for  the Company's various revenue streams by state; 
(2) Any written internal guidelines/matrices used by the Company concerning the collection and remittance of sales tax on a state by state basis;
(3) Copies of customer invoices and customer contracts for each revenue stream; 
(4) Exemption certificates and/or direct pay permits collected by the Company from its top five customers (by revenue);
(5) A description of policies and procedures for the collection and maintenance of exemption certificates; and 
(6) Estimate of the percentage of customers and sales treated as exempt and covered by a valid exemption certificate or direct pay permit.
</t>
  </si>
  <si>
    <t>(A&amp;M 3.24.26): 
1. Closed.
2. Closed.
3. open`
5. Closed.
6. Closed.</t>
  </si>
  <si>
    <t>Use of Avalara.  Annually review of changes in possible additional state filings for income tax done annually with PWC based on revenue by state and payroll by state analysis.
Refer to VDR Index #1.9.9.5 and 1.6.4
(1) The Company reviews revenue by state (see Request #15) to assess state-level activity. The Company files in jurisdictions where it has liability, and Avalara monitors invoicing and provides alerts regarding potential additional filing requirements. See tab “Avalara Detail
3) VDR Index #1.6.4.12
(4) VDR Index #1.9.15
(5) Company's policy of acquiring exemption certificates is a center notifies them and they continue to charge sales tax until they produce the certificate.  Once the company gets it, they set them up in Avalara as tax exempt and their certificate information is set up in Avalara and is updated annual.  
(6) Company has 45 tax exempt customers out of our 1,800+ customers.</t>
  </si>
  <si>
    <t>1.9.9.5 &amp; 1.6.4 &amp; 1.9.15 &amp; 1.6.4.12</t>
  </si>
  <si>
    <t xml:space="preserve">With respect to use tax, provide the following: 
(1) a copy of any written internal guidelines/matrices used by the Company concerning its purchases and the collection of sales tax by its vendors and/or self-assessment of use tax by the Company (e.g., list of products subject to sales tax and purchases which require the accrual of use tax) 
(2) Copies of sample vendor invoices for the Company's purchases (e.g., fixed assets, equipment, office supplies, etc.) and 
(3) Schedule of the top 10 vendors for fixed assets (e.g., machinery and equipment, computer hardware or software, furniture and fixtures) and consumable items (e.g., office supplies).
</t>
  </si>
  <si>
    <t>(A&amp;M 3.24.26): 
1. Closed.
2. Open.
3. Closed.</t>
  </si>
  <si>
    <t>The company utilizes Avalara. State tax filing requirements are reviewed annually with PwC based on revenue and payroll by state. Requested materials have been uploaded to the VDR.
Company does not pay use tax because we pay sales tax to all vendors
Refer to VDR Index #1.9.9.5 and 1.6.5, and 1.6.5.26
2) Refer to VDR Index #1.6.5.26</t>
  </si>
  <si>
    <t>1.9.9.5 &amp; 1.6.5 &amp; 1.6.5.26</t>
  </si>
  <si>
    <t xml:space="preserve">Federal and state payroll tax returns (e.g., 940/941s, etc.) filed by the Company (or a third party processor) for 2022 through the most recent filing period. If a third party payroll processor is used, quarterly and annual summary statements of deposit and filings can be submitted in lieu of returns.
</t>
  </si>
  <si>
    <t>Use of Avalara.  Annually review of changes in possible additional state filings for income tax done annually with PWC based on revenue by state and payroll by state analysis.
Refer to VDR Index #1.9.9.5</t>
  </si>
  <si>
    <t xml:space="preserve">1.9.9.5 </t>
  </si>
  <si>
    <t xml:space="preserve">Provide the following as it relates to independent contractors: 
(1) Forms 1099s issued to independent contractors for 2022 through 2024.
(2) Details regarding the use of any independent contractors, including the nature of services provided and their roles and responsibilities; and 
(3) Copies of independent contractor agreements for any individuals receiving payments in excess of $50,000.
</t>
  </si>
  <si>
    <t>(A&amp;M 3.18.26): Acknowledging Management's response. Provide any Forms 1099-NEC issued from 2023 through 2025.</t>
  </si>
  <si>
    <t>All contractors are paid through arrangements with vendors; the Company does not have direct arrangements with individual contractors
Refer to VDR Index #1.9.12</t>
  </si>
  <si>
    <t>1.9.12</t>
  </si>
  <si>
    <t xml:space="preserve">Real property tax bills/assessments and personal property tax returns/renditions for 2022 through 2024. Copies of correspondence/workpapers relating to any challenges to the assessed value of owned real property, including the outcome of such challenge. </t>
  </si>
  <si>
    <t xml:space="preserve">Provide the following: 
(1) Description of the Company's policies and procedures for monitoring and escheating abandoned and unclaimed property (e.g., dormant payroll check/vendor checks, customer credits, etc.);
(2) Schedule detailing the Company's outstanding checks and customer credits for longer than a year;
(3) Copy of abandoned and unclaimed property reports filed by the Company for the past three years; and
(4) An accounts receivable and accounts payable aging schedule for 12/31/24.
</t>
  </si>
  <si>
    <t>Please provide sales by state (based on customer bill-to location) for JL Morgan for 2024 and 2025, if available.</t>
  </si>
  <si>
    <t>This data is not yet available.</t>
  </si>
  <si>
    <t>Please provide sales within Denver (CO) and Chicago (IL) for 2023, 2024, 2025, and year-to-date 2026.</t>
  </si>
  <si>
    <t>Refer to VDR Index #1.9.8.3</t>
  </si>
  <si>
    <t>1.9.8.3</t>
  </si>
  <si>
    <t xml:space="preserve">Provide a copy of the shareholder note receivable agreement (with the profits interests holders) and copies of loan agreements with third-party lenders. </t>
  </si>
  <si>
    <t>Refer to VDR Index #1.1.6.1</t>
  </si>
  <si>
    <t>1.1.6.1</t>
  </si>
  <si>
    <t>Provide the purchase price allocation workpapers and Forms 8594 filed for the BCTO and Simple Admit acquisitions.</t>
  </si>
  <si>
    <t>The 8594 for BCTO is in VDR Index #1.9.5.1  in the 2022 Federal Income Return. Other documents will not be provided</t>
  </si>
  <si>
    <t>1.9.5.1</t>
  </si>
  <si>
    <t xml:space="preserve">Provide a detailed breakout of what costs are included in the Company’s “other deduction” line item within the other deductions section of the tax returns. </t>
  </si>
  <si>
    <t>Have requested from PwC, will share once received</t>
  </si>
  <si>
    <t>Complete list of all active customers with annual revenue per customer, not limited to top 10</t>
  </si>
  <si>
    <t>Have top 10 only; need the full base to size concentration risk and validate retention claims</t>
  </si>
  <si>
    <t>Refer to VDR Index #1.2.5.4.1</t>
  </si>
  <si>
    <t>1.2.5.4.1</t>
  </si>
  <si>
    <t>Average pricing for PM, EHR, RCM, add-on PM modules and integrated suite by # of ORs per center</t>
  </si>
  <si>
    <t>Foundational for revenue bridge and competitive pricing comparison</t>
  </si>
  <si>
    <t>Refer to price book in VDR Index #1.3.6.1</t>
  </si>
  <si>
    <t>1.3.6.1</t>
  </si>
  <si>
    <t>Timeline of price increases, rate card revisions, or structural changes to pricing over the past 3-5 years</t>
  </si>
  <si>
    <t>Price increase cadence signals pricing power and willingness to push rate</t>
  </si>
  <si>
    <t>Refer to price book in VDR Index #1.3.6.1
Refer to price escalator detail in VDR Index #1.2.5.5.1</t>
  </si>
  <si>
    <t>1.3.6.1
1.2.5.5.1</t>
  </si>
  <si>
    <t>Weighted average contract term length broken out by customer segment (aggregator, independent, hospital-linked)</t>
  </si>
  <si>
    <t>Have template contracts and backlog aging data but need the calculated weighted average contract duration by segment</t>
  </si>
  <si>
    <t>The Company does not track weighted average contract term by segment and does not typically track contracts beyond the initial term given high renewal rates</t>
  </si>
  <si>
    <t>Inventory of 1st through 3rd party datasets available for AI/ML use cases, including: 
- Source type
- Volume and longitudinally
- Data usage rights, particularly around ability to re-use customer data for model training
- Description of the scenario(s) each dataset covers (e.g., clinical workflow, scheduling, billing, claims)</t>
  </si>
  <si>
    <t>Formal inventory of 1P/3P datasets with volume, longitudinally, data usage rights (especially re-use for model training), and per-dataset use case mapping.</t>
  </si>
  <si>
    <t>HST does not have any formal metrics on their dataset(s) at this time, but below are some highlights.  HST is not currently using any 3rd party datasets.  The first party dataset that HST currently leverages for training is their op notes.  Those have been collected over the last 15+ years.  It is safe to say that HST has the biggest and highest quality collection of ASC surgery data in the world to work with.  Currently HST is only training with op note data for use in the new HST OpNote product.  HST is still working on anonymizing their op notes to get an ever larger training set, but the size of that dataset runs into millions of op notes.  HST has permission from more than 50% of customers to anonymize and use their data for training, state of the industry analytics, etc.  HST Assist isn't trained with a dataset per se, but is based on HST's source code, release notes, documentation, training materials, etc. all of which are owned by HST and can be used unrestricted.</t>
  </si>
  <si>
    <t>Provide data architecture documentation describing data pipelines, storage infrastructure, integration architecture across the PM, EHR, and RCM modules, and data flow between the company's systems and third-party sources (e.g., clearinghouses, payers, lab systems, EHRs/EMRs).</t>
  </si>
  <si>
    <t>Detailed data flow diagram that supports AI/ML workloads in Glue / Bedrock</t>
  </si>
  <si>
    <t>Refer to VDR Index #1.8.6</t>
  </si>
  <si>
    <t>1.8.6</t>
  </si>
  <si>
    <t>Documentation of data lineage/traceability, quality checks/scorecards, master data management, and dataset archiving and version control processes</t>
  </si>
  <si>
    <t>Formal documentation of data lineage/traceability, quality scorecards, MDM practices, and dataset archiving/version control processes.</t>
  </si>
  <si>
    <t>HST is only in beta with their first product based on a model trained from their op note data, so this question is still a bit premature for them.  As that product goes GA and HST begins to train other models, they will definitely be putting in place policies, version control, etc. for training data and fully documenting the data pipeline for AI training.</t>
  </si>
  <si>
    <t>Provide an inventory of all AI/ML models currently in production, including model name, target use case, value chain component (PM / EHR / RCM), model type (rules-based / statistical ML / deep learning / GenAI / agentic), deployment date, and current status (active / deprecated).</t>
  </si>
  <si>
    <t>Formal model inventory with deployment dates, value chain mapping (PM/EHR/RCM), and active vs. deprecated status for all models.</t>
  </si>
  <si>
    <t>Refer to AI Architecture in VDR Index #1.8.7</t>
  </si>
  <si>
    <t>1.8.7</t>
  </si>
  <si>
    <t>Provide model performance and monitoring outputs for production AI/ML models over the past 12 months, including accuracy, precision, recall, or task-specific performance metrics (e.g., clean claim rate, prior auth approval rate), and any drift monitoring or production alerting outputs.</t>
  </si>
  <si>
    <t>Available model performance outputs with standardized metrics (accuracy, precision, recall), drift monitoring data, and production alerting outputs.</t>
  </si>
  <si>
    <t>Refer to VDR Index #1.5.4 and #1.8.8
Confirming no formal AI usage documents beyond already shared AI documentation</t>
  </si>
  <si>
    <t>1.5.4
1.8.8</t>
  </si>
  <si>
    <t>Provide MLOps documentation describing model training and validation pipelines, deployment processes, CI/CD practices for ML models, and monitoring and incident response procedures for production model failures or material performance degradation.</t>
  </si>
  <si>
    <t>Formal MLOps documentation covering CI/CD for ML models, deployment processes, and incident response procedures for model failures.</t>
  </si>
  <si>
    <t>Refer to pg. 108 - 113 of the tech study
Additional detail on new AI products provided in VDR Folder #1.8.7
No formal documentation beyond what has already been shared</t>
  </si>
  <si>
    <t>Provide an inventory of customer-facing AI/ML features currently in production across the PM, EHR, and RCM modules, including:
- Feature name, description, customer segment coverage, current adoption metrics (e.g., activated ASC sites, % of eligible transactions processed)
- Feature status (GA / limited availability / beta)</t>
  </si>
  <si>
    <t>Feature-level adoption metrics (activated ASC sites, % transactions), GA/beta status per feature</t>
  </si>
  <si>
    <t>Refer to VDR Index #1.8.7
The AI/ML features HST has today across PM, eChart and RCM are their new products: HST Intake and HST Opnote.  Both are currently in beta.  HST Assist is GA in the PF product, but not yet in PM or eChart (coming in 2026).</t>
  </si>
  <si>
    <t>General</t>
  </si>
  <si>
    <t>2024 &amp; 2025 Vendor spend details including that reconciles / bridges to the trial balance and latest financials:
(a) Vendor name
(b) Vendor ID
(c) Brief description for material vendors
(d) Associated function / department (e.g., COGS - Development, OPEX - Finance, etc.)
(e) Spend in $USD
(f) Commentary on price increases / decreases where appropriate
(g) Associated revenue stream where applicable</t>
  </si>
  <si>
    <t>A&amp;M (3.12.26): Confirm this captures the full IT spend. Data provided excludes:
(a) Vendor names
(b) Vendor ID
(c) Brief Description</t>
  </si>
  <si>
    <t>Refer to VDR Index #1.6.5</t>
  </si>
  <si>
    <t>1.6.5</t>
  </si>
  <si>
    <t>An overview of how each G&amp;A function (e.g. order processing, billing, invoicing, AR, procurement, AP, accounting, reporting - financial &amp; management, payroll, recruiting, training, end-user IT, etc.) is performed today (centralized v. decentralized, locations, tools, etc.)</t>
  </si>
  <si>
    <t>A&amp;M (3.12.26): Data provided excludes:
(a) order processing
(b) Billing
(c) AR/AP
(d) Accounting and Financial Reporting
(e) Recruiting
(d) Training</t>
  </si>
  <si>
    <t>Refer to VDR Index #1.2.9</t>
  </si>
  <si>
    <t>1.2.9</t>
  </si>
  <si>
    <t>Provide detail behind EBITDA improvements outlined in Jan26 CIM, page 11 (2% Gross Margin, 2$ S&amp;M, 2% G&amp;A, and 4% R&amp;D) detailing what tools and workflows will be impacted
 Please provide any documentation that supports this including:
a) A detailed overview and transition plan
b) Implication processes or long-term strategy of the functions</t>
  </si>
  <si>
    <t>Refer to Financial Model in VDR Index #1.2.5. The bridge was created using the margin expansion associated to each line item mentioned (i.e., the decrease as a percentage of revenue associated with each line item in the 2026 forecast).
No further transition plan documentation is available. Over 2021 to 2024, HST built the people infrastructure to support continued growth over the next 5 years. HST will have minimal people adds to support growth other than Sales, Support and Client Success. Recurring revenue is continuing to grow without increase cost. Full Margin products like RCM and Pay are growing contributing to growth in margin.</t>
  </si>
  <si>
    <t>(a) List of existing suppliers in use for contingent labor, spend to date, no. of HC etc.
(b) Offshore strategy plan by role / function / sub-function with relevant timing / execution details</t>
  </si>
  <si>
    <t>Refer to VDR Index #1.6.6 and 1.4.2</t>
  </si>
  <si>
    <t>1.6.6 &amp; 1.4.2</t>
  </si>
  <si>
    <t>Facilities</t>
  </si>
  <si>
    <t>Summary of facilities spend including:
(a) Address and location
(b) Lease terms including expiration and early termination clauses
(c) Size of facility (sqft.)
(d) Rent costs and non-rent operational costs
(e) Occupancy of headcount
Alternatively, provide the lease agreements and amendments</t>
  </si>
  <si>
    <t>A&amp;M (3.12.26): Lease contracts missing from folders provided:
(a) Irvine Office
(b) Nashville
(c) LBA Park Place</t>
  </si>
  <si>
    <t>Refer to VDR Index #1.6.2.1.1 for leases</t>
  </si>
  <si>
    <t>1.6.2.1.1</t>
  </si>
  <si>
    <t>Provide details of any historical performance improvement initiatives</t>
  </si>
  <si>
    <t>A&amp;M (3.18.26): Data in 1.3.3 relates to Customer onboarding; confirm if there is any data on performance improvements (i.e. cost saving initiatives or implementation of processes to improve efficiency )</t>
  </si>
  <si>
    <t>1.3.3</t>
  </si>
  <si>
    <t>HR</t>
  </si>
  <si>
    <t>Detailed organization charts (overall and by function) describing locations, roles and responsibilities and any major changes in staffing in the recent past. In addition, highlight the use of third-party services and support to supplement any functional areas, describe the volume and type of work that is outsourced (including to any remote development centers)</t>
  </si>
  <si>
    <t>Refer to VDR Index #1.4.1. No major staffing changes</t>
  </si>
  <si>
    <t>List of existing contractors / temp labor leveraged across the business, including the tagging to department, location, and ongoing projects / initiatives (with descriptions and timing)</t>
  </si>
  <si>
    <t>Refer to VDR index #1.4.2.3</t>
  </si>
  <si>
    <t>1.4.2.3</t>
  </si>
  <si>
    <t>List of key open positions across the business including details on targeted fully-loaded compensation, functional / department mapping, timeline, job title, grade, location, targeted supervisor, current back-full, etc.</t>
  </si>
  <si>
    <t>No key positions open</t>
  </si>
  <si>
    <t xml:space="preserve">Listing of all employee departures occurring in the LTM period which details job title, location, department and compensation; note if any were backfilled </t>
  </si>
  <si>
    <t>A&amp;M (3.20.26): Missing complete bonus information; provide a refreshed 1.4.2.4</t>
  </si>
  <si>
    <t>Full historical employee census provided
Additional Detail posted in VDR Index #1.4.2.8</t>
  </si>
  <si>
    <t>IT</t>
  </si>
  <si>
    <t>Provide an overview of current, past and future back-office IT Operational Expenditures for the following categories:   
   - Internal Staffing
   - External Service Providers/Managed Services
   - Contractors
   - Software Licenses/Fees
   - Hardware including laptops, desktops, etc. - Leasing/Rental &amp; Maintenance
   - Telecommunications - Voice &amp; Data Networks
   - Depreciation
   - Other (please specify)</t>
  </si>
  <si>
    <t>Refer to VDR Index #1.8.16</t>
  </si>
  <si>
    <t>1.8.16</t>
  </si>
  <si>
    <t>Identify by major expenditure/project the actual &amp; projected total back-office IT CAPEX spend for the last year, current year, and next year.</t>
  </si>
  <si>
    <t>Total CapEx adding in 2025 was $41k.  This was all replacement computers over the $2.5k capex threshold.  For 2026 &amp; 2027 HST expects around $50k for same type of spend as they replace out of life computers for employees.</t>
  </si>
  <si>
    <t>Describe/list applications for current back office applications portfolio, such as:
• Finance &amp; Accounting
• Billing/Rev Cycle Management
• HR/Benefits/Payroll
• Call Center Operations
• Procurement and Payment
• Compliance and Risk Management
• Analytics and Reporting
• IT Ticketing, ITOM, etc.
• Treasury
• Other operational systems
Specify COTS versus custom developed, dedicated / shared, vendor, version and supporting technology platform (e.g., server, OS, database and whether the application is SaaS/cloud based/hosted solutions).</t>
  </si>
  <si>
    <t>A&amp;M (3.12.26): Request for critical vendor names be unblinded. Verify this reconciles with the vendor spend file?</t>
  </si>
  <si>
    <t>Describe/list applications for current back office infrastructure and information security tooling, such as:
• Server Management
• Workstation Management
• System Monitoring
• Backup &amp; Recovery
• Patch Management
• Workstation Endpoint Protection
•  Firewall
• Intrusion Detection
• Log Monitoring/SIEM
• Email/Collaboration and Telephony
• Mobile Device Management (MDM)</t>
  </si>
  <si>
    <t>A&amp;M (3.12.26): Data Provided Excludes: 
• Server Management
• Workstation Management
• System Monitoring
• Patch Management
• Workstation Endpoint Protection
•  Firewall
• Intrusion Detection
• Log Monitoring/SIEM
• Email/Collaboration and Telephony
• Mobile Device Management (MDM)</t>
  </si>
  <si>
    <t>Refer to VDR Index #1.8.8, 1.8.10, 1.8.11, and 1.8.15</t>
  </si>
  <si>
    <t>1.8.8, 1.8.10, 1.8.11, and 1.8.15</t>
  </si>
  <si>
    <t>IT asset inventory in Excel format for workstations and network equipment, including equipment details (e.g., make, model, operating system, purchase date, warranty status)</t>
  </si>
  <si>
    <t>Company does not have purchase dates with inventory list
Refer to VDR Index #1.8.17</t>
  </si>
  <si>
    <t>1.8.17</t>
  </si>
  <si>
    <t>Product</t>
  </si>
  <si>
    <t>List of  Products and Services supported and maintained, as well as those at / or nearing end of life</t>
  </si>
  <si>
    <t>Please reference pages 26-30 of shared confidential information presentation
PM, HST Pay, HST Autocode (partnership, 2026), eChart, CC, PE, Home, DocHub (beta), PF, Clariti, HST Opnote (beta), HST Intake (beta), Simple Admit (end-of-life), HST CAHPS (JLM acquisition, 2026), HST GRC (partnership), HST Assist (GA in PF, beta other products)</t>
  </si>
  <si>
    <t>Technology</t>
  </si>
  <si>
    <t>Please provide:
a) A detailed view of hosting costs
b) Use of on-prem vs cloud solutions
c) Any recent (2024 - YTD 2026) hosting optimization efforts and effective results
d) Changes in technology/services supporting hosting infrastructure</t>
  </si>
  <si>
    <t>The organization is executing a comprehensive transition to AWS as its primary cloud ecosystem. This includes the final migration from CSpire (one large customer remaining), which is slated to begin in the second half of 2026 and conclude by Q1 2027. This transition will eliminate duplicate hosting costs, although a portion of the gross savings will be offset by increased AWS consumption. Simultaneously, Clariti and HST Pay will move from GCP to AWS during 2026. While this migration is expected to be cost-neutral, it significantly simplifies infrastructure maintenance and improves product integration. Furthermore, the Simple Admit environment on Azure will be fully decommissioned by the end of 2026 as customers transition to the Patient Engagement product. This sunsetting process will yield savings by eliminating Azure account fees, vendor costs, and the specific contractor headcount currently supporting that environment.
The financial upside of the roadmap is driven by licensing arbitrage and operational efficiency. The CSpire migration allows a shift from SQL Server Enterprise to Standard licenses, capturing immediate savings. The 2H 2026 release of containerized versions of eChart and PM will move workloads to Linux containers, effectively eliminating Windows Server licensing fees. This containerized architecture also enables dynamic scaling, allowing the team to scale resources down during off-peak evening hours. Specifically, the separation of eChart and PM databases enables the transition to PostgreSQL, a license-free database that is both more efficient and cost-effective to host. Additionally, optimizing Live Edit to reduce its heavy database reliance is expected to significantly decrease the total number of database servers required across the footprint.</t>
  </si>
  <si>
    <t>Provide details on any recent (2024 - YTD 2026) implementation of AI or ML applications, specific tools/services being leveraged, and the outcome of implementation (process automation, operational efficiency enhancement, etc.)</t>
  </si>
  <si>
    <t>AI Products: HST Opnote, HST Intake, HST Assist and HST Autocode.  Autocode is a partnership with Synergen and they are responsible for the models used.  For the other three, HST leverages AWS Bedrock so that they can use a variety of models and switch to whatever is best at a given moment in time</t>
  </si>
  <si>
    <t>R&amp;D</t>
  </si>
  <si>
    <t xml:space="preserve">Margin enhancement detail shows a 4% increase in margin driven by a shift from foundational investment into modular enhancements. Please provide any documentation that supports this including:
a) A detailed overview and transition plan
b) Implication on long term R&amp;D investment strategy
</t>
  </si>
  <si>
    <t>Refer to VDR Index #1.8.1</t>
  </si>
  <si>
    <t>Please provide:
a) A detailed organizational chart - organized by business unit, tech stack, functional area (Product, Engineering, QA, UI/UX, DevOps, etc.), location, and product alignment. 
b) Historical employee turnover statistics for product and engineering organizations
c) Any planned staffing changes and open positions (new or backfill),</t>
  </si>
  <si>
    <t>Refer to VDR index #1.4.2</t>
  </si>
  <si>
    <t>Provide details on R&amp;D capitalization policies, including labor capitalization by individual and 3rd parties</t>
  </si>
  <si>
    <t>the Vendor level by GL account actuals and budget are in the model</t>
  </si>
  <si>
    <t>a) Describe the use of third-party Product/R&amp;D/Engineering resources and the ability to scale those resources.
b) Provide the contracts (MSAs, SOWs, etc.) describing the relationship, services provided, and costs.</t>
  </si>
  <si>
    <t>A&amp;M (3.12.26): Missing detail on ability to scale, relationships, and details on services provided</t>
  </si>
  <si>
    <t>P&amp;L for current and prior full year for each product, broken down by revenue and expenses (internal staffing, COGS, contractors, vendors, tools, etc.)</t>
  </si>
  <si>
    <t>A&amp;M (3.12.26): Acknowledging revenue by product. Missing breakdown of expenses by product
A&amp;M (3.18.16): Is there any data that allocated R&amp;D resources to products or if GTM personnel are directly aligned to a product?</t>
  </si>
  <si>
    <t>Refer to Financial Model in VDR Index #1.2.5
The company does not track P&amp;Ls or expenses by product</t>
  </si>
  <si>
    <t>1.2.5</t>
  </si>
  <si>
    <t>Bookings by customer at the product/services level for the historical period (Jan-24 through Mar-26).
For each customer please include:
- Customer Type (direct vs. channel partner, etc.)
- Customer Size or Segmentation
- Geography
- Industry/Vertical
- Any additional dimensions tracked by Management
For each product/contract please include:
- Revenue type (SaaS/subscription, setup &amp; implementation, project)
- Discount from standard price
- ACV and TCV (include clarification on the components/calculation of TCV)
- Contract term, including start and end dates
- Any additional dimensions tracked by Management</t>
  </si>
  <si>
    <t>Covered by FDD request 7 - if additional detail is needed once that is received, will re-open
A&amp;M (3.19.26):
In the CARR Cube file, missing redacted account owner ID and role (e.g., AM, CSM) mapped to each redacted parent customer
- this will provide better insight into coverage / capacity, and understand who is driving the most with what type of support</t>
  </si>
  <si>
    <t>Refer to VDR Index #1.4.2
Won opportunities and corresponding ARR reflect bookings</t>
  </si>
  <si>
    <t>List of key teams within the sales organization (sales ops, enablement, AM, BDM, SDR, etc.) with a description of how they operate within the business and support sales. Please be sure to indicate which roles are responsible for renewals, upsells, and cross-sells</t>
  </si>
  <si>
    <t>Refer to VDR Index #1.4.2 and the CIP</t>
  </si>
  <si>
    <t>1. Historical customer win / loss opportunity data: 2024, 2025, and YTD 2026 with the following:
- customer name and ID
- booking type (new, upsell, renewal, etc.)
- opportunity $ 
- sales stage
- opportunity create and close date
- account owner name and ID
- loss reason (i.e., switched to competitor, pricing, etc.)
2. Current open customer pipeline with the following:
- customer name and ID
- booking type (new, upsell, renewal, etc.)
- opportunity $
- sales stage
- opportunity create and expected close date
- account and opportunity owner name and ID</t>
  </si>
  <si>
    <t>A&amp;M (3.12.26):
1a. No account/opportunity owner attribution
1b. No explicit renewal tagging - types limited to New Business and Cross-sell
2a. No account/opportunity owner attribution
2b. Expected close dates provided at fiscal quarter level only (e.g., Q1-2026), not granular dates (i.e., No opportunity create date)</t>
  </si>
  <si>
    <t>(a) Please provide details on each of the sales teams' compensation plans (e.g., AE, CSM, Solution Consultant, Renewal Rep, supplier sales etc.) and associated pay curves. Include any incentive parameters to drive renewals, upselling new products, and cross sell behavior between product and service lines and context around any changes to the plan over the last two years
(b) Quota-setting methodology and program comp / quota policy materials</t>
  </si>
  <si>
    <t>Refer to VDR Index #1.4.2 and 1.3.2.2</t>
  </si>
  <si>
    <t>1.4.2 and 1.3.2.2</t>
  </si>
  <si>
    <t>For all sales reps (inside and outside sales) and account team roles (SDR, BDR, SE, CSM, etc.), please provide 2024, 2025 and 2026 data with the following:
(a) for each compensation measure / plan component:
- target incentive weighting (e.g., measure 1 is 70% of rep A target incentive, measure 2 is 30%)
- sales generated (i.e., bookings) vs quota
- commissions earned vs target incentive
(c) employee segment, role, geo / region, team, etc.
(d) start date / term date</t>
  </si>
  <si>
    <t>A&amp;M (3.12.26): Data covers quota-carrying reps only - additional non-quota roles (SDR, SE, CSM) data required. 
A&amp;M (3.19.26): Missing both target and actual commissions paid by individual (AM, CSM, SE, etc.), as well as quota and quota attainment data for SDR, SE, CSM, and other support roles.
- both data points will allow us to analyze pay v performance relationship to identify / validate margin refinement opportunities</t>
  </si>
  <si>
    <t>Please provide a detailed view of customer churn with the following:
(a) customer ID
(b) Historical revenue</t>
  </si>
  <si>
    <t>Refer to VDR Index #1.2.6.1</t>
  </si>
  <si>
    <t>Marketing</t>
  </si>
  <si>
    <t>List of key supporting teams within the sales organization (BDR, events, communications, brand, etc.) with a description of how they operate within the business and support sales and any metrics or dashboards used to measured effectiveness and efficiency of employees</t>
  </si>
  <si>
    <t>Please provide an overview of the current demand and lead generation strategy</t>
  </si>
  <si>
    <t>A&amp;M (3.12.26): Confirm no additional demand and lead generation detail</t>
  </si>
  <si>
    <t>Refer to VDR Index #1.3.2</t>
  </si>
  <si>
    <t>1.3.2</t>
  </si>
  <si>
    <t>Non-labor spend breakdown (including contingent labor/agency fees, events, conferences, tradeshows, etc.). Please breakdown program spend and include performance metrics by channel:
(a) spend by generation channels
(b) cost per lead by channel 
(c) ROI by channel
(d) Market events, cost per event, and associated leads generated</t>
  </si>
  <si>
    <t>Customer Support</t>
  </si>
  <si>
    <t>Please provide Customer Support utilization metrics, by employee and in aggregate, for FY24, FY25 and YTD FY26. When providing utilization, breakdown by:
(i) Occupancy Rate
(ii) Shrinkage
(iii) Overall Utilization
Include the denominator for each metric</t>
  </si>
  <si>
    <t>Provide historical support ticket metrics for FY24, FY25, and YTD FY26 on a monthly basis, by ticket type, by product . Include:
(i) First Response Time
(ii) Resolution Time
(iii) First Contact Resolution
(iv) Ticket Volume and Backlog by inbound type (email, phone, chat)
(v)  Any metrics used to monitor customer satisfaction after interactions with support</t>
  </si>
  <si>
    <t>Refer to VDR Index #1.3.3.4</t>
  </si>
  <si>
    <t>1.3.3.4</t>
  </si>
  <si>
    <t>Please provide any other workforce management reports used by the Company to monitor the effectiveness and capacity of the customer support team</t>
  </si>
  <si>
    <t>Refer to VDR Index #1.3.3.9</t>
  </si>
  <si>
    <t>1.3.3.9</t>
  </si>
  <si>
    <t>Implementation / Interoperability</t>
  </si>
  <si>
    <t>Please provide utilization metrics for the Implementation and Interoperability teams, by employee and in aggregate, for FY24, FY25 and YTD FY26.  Provide the calculation used to determine utilization rate</t>
  </si>
  <si>
    <t>Refer to VDR Index #1.3.3.7 &amp; 1.3.3.8</t>
  </si>
  <si>
    <t>1.3.3.7 &amp; 1.3.3.8</t>
  </si>
  <si>
    <t>Provide staffing sheets; noting how active Implementation and Interoperability employees are currently assigned to project (if available, include for last six months)</t>
  </si>
  <si>
    <t>Implementation</t>
  </si>
  <si>
    <t>Provide any implementation forecasts or planned staffing for the next year and mapping to current backlog</t>
  </si>
  <si>
    <t>Refer to VDR Index #1.3.3.6</t>
  </si>
  <si>
    <t>1.3.3.6</t>
  </si>
  <si>
    <t>Finance</t>
  </si>
  <si>
    <t>Please provide value metrics for the Finance team, including:
1. Customer Invoices billed a month (AR)
2. Vendor Invoices processed and paid a month (AP)</t>
  </si>
  <si>
    <t>Refer to VDR Index #1.2.7.2 and 1.2.7.3</t>
  </si>
  <si>
    <t>1.2.7.2 and 1.2.7.3</t>
  </si>
  <si>
    <r>
      <t xml:space="preserve">Provide detailed Product Roadmap with resource alignment for FY26 and FY27 (if available). Note how resources are spent on new feature development versus maintenance
</t>
    </r>
    <r>
      <rPr>
        <i/>
        <sz val="10"/>
        <rFont val="Aptos Narrow"/>
        <family val="2"/>
        <scheme val="minor"/>
      </rPr>
      <t>Crosslake report references detailed Product Roadmaps</t>
    </r>
    <r>
      <rPr>
        <sz val="10"/>
        <rFont val="Aptos Narrow"/>
        <family val="2"/>
        <scheme val="minor"/>
      </rPr>
      <t xml:space="preserve"> </t>
    </r>
    <r>
      <rPr>
        <i/>
        <sz val="10"/>
        <rFont val="Aptos Narrow"/>
        <family val="2"/>
        <scheme val="minor"/>
      </rPr>
      <t>and High Level Roadmap was provided in the report</t>
    </r>
  </si>
  <si>
    <t>Customer Support - Management Follow-Ups</t>
  </si>
  <si>
    <t>Breakout of how Support employees are dedicated to each of the provided areas. If possible, include as a field in the 1.4.2.4 census:
1. Practice Management
2. Clinical
3. Case Coordination &amp; Patient Engagement
4. Clarity &amp; HST Pay</t>
  </si>
  <si>
    <t>Clarify the increase in the Salesforce contract from the addition of the AgentForce module</t>
  </si>
  <si>
    <t xml:space="preserve">Agent Force costs. The license is per person $72.5 pp for the internal Agentforce/genAI features with total being $34,800 which enables their unlimited use of the internal agent as well as all of the other GenAI features </t>
  </si>
  <si>
    <t>Implementation - Management Follow-Ups</t>
  </si>
  <si>
    <t>Breakout of how Implementation employees are dedicated to each of the provided areas. If possible, include as a field in the 1.4.2.4 census:
1. Practice Management
2. Clinical
3. Case Coordination &amp; Patient Engagement
4. Clarity &amp; HST Pay</t>
  </si>
  <si>
    <t>Refer to VDR Index # 1.3.3.5</t>
  </si>
  <si>
    <t>1.3.3.5</t>
  </si>
  <si>
    <t>Sales - Management Follow-Ups</t>
  </si>
  <si>
    <t>Verify the allocation of commissions in the financial model to confirm the expected go forward expense. Currently is shown as flat to a slight reduction despite significant revenue growth.</t>
  </si>
  <si>
    <t>Marketing - Management Follow-Ups</t>
  </si>
  <si>
    <t>Detailed breakdown of what is driving the massive jump in marketing labor expense in 2025 and understand why that is not in the forecast; hypothesis this could be due to a contractor.</t>
  </si>
  <si>
    <t>Confirm if costs to support RCM support tickets are included within Horizon's P&amp;L or if they are netted against revenue and then allocated out in the EBITDA split</t>
  </si>
  <si>
    <t>Confirming no additional cost is needed to support RCM.  All support needs fall into normal support channels.</t>
  </si>
  <si>
    <t>Provide a breakout of implementation employees allocation across products</t>
  </si>
  <si>
    <t>Copies of the articles of incorporation, bylaws, certificates of formation or organization, partnership or LLC agreements and other similar organizational documents of all Company entities, including all amendments thereto.</t>
  </si>
  <si>
    <t>Refer to VDR Index #1.1.2 &amp; 1.1.4 &amp; 1.1.1.2</t>
  </si>
  <si>
    <t>1.1.2 &amp; 1.1.4 &amp; 1.1.1.2</t>
  </si>
  <si>
    <t>Membership interest or other equity interest/stock record books and copies of all unit and/or stock certificates.</t>
  </si>
  <si>
    <t>Refer to VDR Index #1.1.6</t>
  </si>
  <si>
    <t>All material minutes of meetings of equityholders, boards of directors (or equivalent governing bodies) and all committees thereof (or written consents in lieu of meetings) and all materials regarding material matters distributed to such board (or governing bodies).</t>
  </si>
  <si>
    <t>Refer to VDR Index #1.1.7</t>
  </si>
  <si>
    <t>1.1.7</t>
  </si>
  <si>
    <t>List of specific jurisdictions in which the Company is qualified, or has applied for, qualification to do business or has substantial contacts (e.g., real or personal property owned or leased, employees, sales representatives, etc.), and such related qualifications.</t>
  </si>
  <si>
    <t>Refer to VDR Index #1.1.3</t>
  </si>
  <si>
    <t>1.1.3</t>
  </si>
  <si>
    <t xml:space="preserve">Structure chart, including for each entity the jurisdiction of formation, capitalization information and primary operating purpose. </t>
  </si>
  <si>
    <t>Refer to VDR Index #1.1.1 and 1.1.5</t>
  </si>
  <si>
    <t>1.1.1 &amp; 1.1.5</t>
  </si>
  <si>
    <t>List of officers and directors (or equivalent) of each Company entity.</t>
  </si>
  <si>
    <t>Refer to VDR Index #1.1.8</t>
  </si>
  <si>
    <t>1.1.8</t>
  </si>
  <si>
    <t>Please provide a detailed copy of the current capitalization table, including the name of each equity holder, the number and type of equity securities held, the name of each optionholder (if applicable) and the vesting schedule for each.</t>
  </si>
  <si>
    <t>Refer to VDR Index #1.1.5</t>
  </si>
  <si>
    <t>1.1.5</t>
  </si>
  <si>
    <t>All agreements relating to the issuance of equity securities (including convertible securities and options) since the Company’s formation, including purchase or subscription agreements, incentive award agreements, secondary transfer agreements, exchange, redemption and repurchase agreements, and related agreements.</t>
  </si>
  <si>
    <t>Copies of (or agreements related to) any warrants, profits interests, stock options, or options to purchase other securities, any convertible securities or other rights to subscribe for or purchase securities.</t>
  </si>
  <si>
    <t>All agreements relating to equity securities (including convertible securities), including voting agreements, stockholder agreements, investor rights agreements, co-sale agreements, subscription agreements, award agreements, registration rights agreements, agreements relating to special dividend rights, preemptive rights, anti-dilution rights, rights of first refusal or other rights affecting ownership of any security of the Company with or among equityholders of the Company (including side letters, if any).</t>
  </si>
  <si>
    <t>Confirm if the Company has any minority or similar investments. If yes, describe and provide all related documentation.</t>
  </si>
  <si>
    <t>Documents related to any recapitalization, reorganization, merger, acquisition, sale or divestiture involving the Company.</t>
  </si>
  <si>
    <t>Refer to VDR Index #1.1.1.3</t>
  </si>
  <si>
    <t xml:space="preserve">Schedule of all debt financing arrangements. </t>
  </si>
  <si>
    <t>Loan agreements, lines of credit, indentures, revolving credit agreements, note purchase agreements, notes, other evidences of indebtedness and all related documents.</t>
  </si>
  <si>
    <t>Mortgages, security agreements, pledges and other evidence of liens or letters of credit securing any obligations of the Company.</t>
  </si>
  <si>
    <t>Corporate and personal guarantees of any obligations and powers of attorney executed in the Company’s name.</t>
  </si>
  <si>
    <t>The Company signed a guaranty on behalf of HST related to the lease of the building in conjunction with the JLM acquisition. Refer to VDR Index #1.1.1.3</t>
  </si>
  <si>
    <t>Financing documents (e.g., sale and leaseback agreements), installment sales agreements and all liens and financing statements.</t>
  </si>
  <si>
    <t>Will not be provided at this time</t>
  </si>
  <si>
    <t xml:space="preserve">Country-by-country (a) “ship-to” revenues, meaning revenues categorized by the location of the Company’s direct customers, for the last completed fiscal year, and (b) asset values, as of most recent date available. </t>
  </si>
  <si>
    <t>Refer to VDR Index #1.9.8 and 1.9.11</t>
  </si>
  <si>
    <t>1.9.8 &amp; 1.9.11</t>
  </si>
  <si>
    <t>Most recent prepared balance sheet, structure chart (showing country of incorporation), and number of authorized directors.</t>
  </si>
  <si>
    <t>Refer to VDR Index #1.1.1 &amp; 1.1.8</t>
  </si>
  <si>
    <t>1.1.1 &amp; 1.1.8</t>
  </si>
  <si>
    <t>Please confirm that all employees enter into the form of offer letter provided in VDR 1.4.5.1.</t>
  </si>
  <si>
    <t>Please confirm whether the Company maintains an equity incentive plan. If it does, please provide all relevant documents, including but not limited to (i) the plan document, including all amendments (ii) all grant agreements (or confirmation that all grants are made pursuant to the same form of award agreement) and board resolutions approving all grants, (iii) a fully-diluted capitalization table, including grant dates, grantee name, vesting schedule, and type of award, (iv) all Section 409A valuations performed within the past five years, including board consents describing the Company’s determination of the fair market value of the Company’s common stock used in determining the strike prices of options granted, (v) copies of all 83(b) elections made, and (vi) copies of all shareholder resolutions approving the equity plan and any subsequent amendments.</t>
  </si>
  <si>
    <t xml:space="preserve">With respect to each of the health and welfare benefits, please provide: all applicable plan documents, including any ERISA “wrap” plan document; the three most recent Form 5500 filings; the summary plan description and any summary of material modifications; and agreements with insurers/certificates of coverage, as applicable. </t>
  </si>
  <si>
    <t>Confirm whether such health and welfare benefits are fully insured or self-funded, and if self-funded, please confirm whether the Company maintains stop loss insurance (and if so, provide a copy of the current policy). Please provide a calculation of liability for associated incurred but not reported (IBNR) claims, information relating to claims experience, and data regarding asset reserve.</t>
  </si>
  <si>
    <t>All are fully insured.</t>
  </si>
  <si>
    <t>Provide copies of any material communication or filings with the DOL, the IRS, or comparable state entity, including any EPCRS filing, VCP filing, VFCP, pending IRS Form 5300 Determination Letter application, etc.</t>
  </si>
  <si>
    <t>Refer to VDR Index #1.9.2</t>
  </si>
  <si>
    <t>Provide the services agreement entered into with any professional employer organization, or confirm inapplicable.</t>
  </si>
  <si>
    <t>The Company  has a relationship with ADP as their PEO. Refer to VDR Index #1.4.7.7</t>
  </si>
  <si>
    <t>1.4.7.7</t>
  </si>
  <si>
    <t>With respect to the Healthcare Systems &amp; Technologies, LLC 401(k) Plan, provide (i) the plan document, including any amendments, (ii) executed adoption agreement, (iii) summary plan description and any summary of material modifications, (iv) three most recent Form 5500s, (v) the IRS’ determination or opinion letter regarding the qualification of the plan and (vi) three most recent compliance testing results (including nondiscrimination testing and top-heavy testing). Please confirm there have been no documentary or operational compliance issues with respect to the 401(k) plan and that the Company has never undertaken any corrective measures with respect to the plan whether informally or through the IRS EPCRS program.</t>
  </si>
  <si>
    <t>Provide all employment, consulting, compensation or other agreements or arrangements to which any manager, director, officer or employee of the Company is a party.</t>
  </si>
  <si>
    <t>Refer to VDR Index #1.1.6.3</t>
  </si>
  <si>
    <t>1.1.6.3</t>
  </si>
  <si>
    <t>Provide an executed copy of the Company’s Section 125 plan document.</t>
  </si>
  <si>
    <t>Refer to VDR Index #1.4.9</t>
  </si>
  <si>
    <t>1.4.9</t>
  </si>
  <si>
    <t>Plan documents or agreements relating to all bonus, commission, severance, change of control, or other compensation arrangements. In addition, provide an estimate of the aggregate amount payable pursuant to the Company’s bonus programs for the current year.</t>
  </si>
  <si>
    <t>Refer to VDR Index #1.4.4 and 1.1.6</t>
  </si>
  <si>
    <t>1.4.4 &amp; 1.1.6</t>
  </si>
  <si>
    <t>Describe the steps taken by the Company to ensure compliance with the Affordable Care Act, including whether the Company receives assistance from a third party in ensuring compliance. Please provide copies of: (i) the Company’s three most recent Forms 1094 (executed) and a sample of the Form 1095 filing for such years, (ii) summaries of benefits and coverage for each medical plan offered to employees, (iii) copies of any notices received in connection with any employer mandate (Section 4980H(a) or 4980H(b) penalties) or any other penalty and (iv) copies of any notices of employees participating in an exchange.</t>
  </si>
  <si>
    <t>Refer to VDR Index #1.9.4</t>
  </si>
  <si>
    <t>1.9.4</t>
  </si>
  <si>
    <t>Confirm whether the Company maintains any nonqualified deferred compensation plans or arrangements. If it does, please provide all related documents, including the plan document, a list of participants and related balances, and a description of any issues ever discovered with respect to the plan.</t>
  </si>
  <si>
    <t>Confirm whether the Company does and has ever participated in a (i) a defined benefit plan subject to Title IV of ERISA, (ii) a multi-employer plan, (iii) a multiple employer plan, (iv) a multiple employer welfare arrangement, or a (v) VEBA. If it has, please provide all relevant documents, including, as applicable (i) summary plan descriptions, (ii) Form 5500 filings, (iii) adoption agreements, (iv) plan documents, (v) the plan’s most recent actuarial valuation and (vi) the last three Annual Funding Notices (AFN) that were sent to participants.</t>
  </si>
  <si>
    <t>Confirm whether the Company is aware of any litigation or potential compliance issue related to any benefit plan (including qualified and health and welfare plans) that Company employees participate in.</t>
  </si>
  <si>
    <t>Not applicable</t>
  </si>
  <si>
    <t xml:space="preserve">Confirm whether the Company has any obligation to provide post termination or retiree welfare benefits, other than COBRA. </t>
  </si>
  <si>
    <t>Provide any loan agreements between Company and any service provider.</t>
  </si>
  <si>
    <t>Provide any 280G analysis prepared in connection with the Transaction or describe why 280G is inapplicable.</t>
  </si>
  <si>
    <t>Please update the Employee Census (October 2025) censuses in the VDR to include, in one spreadsheet, each employee’s: (i) name; (ii) employing entity; (iii) work location; (iv) classification as exempt/nonexempt for wage and hour law purposes; (v) full-time/part-time status; (vi) active/inactive status, including whether on a leave of absence and, if applicable, type of leave and expected return date; (vii) regular/temporary/seasonal status; (viii) union affiliation (if any) or confirmation as to whether or subject to a collective bargaining agreement; and (ix) annual bonus and long-term incentive compensation targets.</t>
  </si>
  <si>
    <t>Refer to VDR Index #1.4.2
Unblinded detail not being provided</t>
  </si>
  <si>
    <t>A current list of all currently-engaged independent contractors, leased employees, and other contingent workers, including for each: (i) location of engagement (city, state, country); (ii) if individual is engaged directly by the Company or through a third-party entity or staffing agency; (iii) a description of the functions/roles performed (and whether the Company has any employees who also perform those same functions/roles); (iv) engagement date and expected duration of engagement; and (v) applicable fees or payments for services. Please also provide copies of all written agreements pursuant to which such workers are engaged.</t>
  </si>
  <si>
    <t>Refer to VDR Index #1.4.2.3</t>
  </si>
  <si>
    <t>A list of all employees on a visa or other temporary work permit including (i) name, (ii) visa type, (iii) sponsoring entity, (iv) expiration date, (v) total duration of time in visa category, and (vi) pending applications or petitions.</t>
  </si>
  <si>
    <t>Refer to VDR Index #1.4.2.5</t>
  </si>
  <si>
    <t>1.4.2.5</t>
  </si>
  <si>
    <t>Confirm whether the Company uses any outsourced labor or contingent workforce (e.g. temporary staffing arrangements or other external workforces). To the extent outsourced labor is used, provide (i) the locations (city, state, and country), (ii) nature of services, and (iii) headcounts per locations. Provide agreements with entities providing outsourced labor (e.g., temporary staffing agreements).</t>
  </si>
  <si>
    <t xml:space="preserve">Confirm the Company uses ADP TotalSource as its PEO. If applicable, please provide a copy of all PEO agreements. </t>
  </si>
  <si>
    <t>Confirmed. Refer to VDR Index #1.4.7</t>
  </si>
  <si>
    <t>Written employment policies applicable to employees of the Company and its affiliates that are not covered by the handbook.</t>
  </si>
  <si>
    <t>Refer to VDR Index #1.4.11</t>
  </si>
  <si>
    <t>1.4.11</t>
  </si>
  <si>
    <t>All forms of employee offer letters that have not already been provided, restrictive covenant agreements, proprietary information and invention assignment agreements (as referenced in the template offer letter), separation, severance, arbitration, confidentiality, and other similar agreements that the Company requires employees to execute in connection with their application for or employment with the Company, as well as any material deviations from the form.</t>
  </si>
  <si>
    <t>Refer to VDR Index #1.4.5.2</t>
  </si>
  <si>
    <t>1.4.5.2</t>
  </si>
  <si>
    <t xml:space="preserve">Provide (i) a description of any senior management turnover and (ii) attrition rates (voluntary and involuntary) for the last 3 years. </t>
  </si>
  <si>
    <t>Refer to VDR Index #1.4.2.6</t>
  </si>
  <si>
    <t>1.4.2.6</t>
  </si>
  <si>
    <t>Provide a description of each reduction in force (for any reason, such as a facility closing or relocation, or reduction because of lack of work or economic conditions) carried out by the Company at any location during the past 3 years, including whether any notice was issued pursuant to the Worker Adjustment and Retraining Notification Act or any similar state, local, or foreign law.</t>
  </si>
  <si>
    <t>On 4/1/2024, a business decision was made to eliminate the Patient Engagement call center.  Of the 17 employees that were part of the call center, two employees left HST for other opportunities after the business decision was communicated to them, one employee was terminated for absenteeism, eight employees’ responsibilities were repurposed to other segments of the business, and six employees were terminated and received four weeks of severance pay.</t>
  </si>
  <si>
    <t>A copy of the Company’s employment application and employee onboarding checklist (and copies of all documents referenced).</t>
  </si>
  <si>
    <t>Refer to VDR Index #1.4.6</t>
  </si>
  <si>
    <t>1.4.6</t>
  </si>
  <si>
    <t>For the last 3 years, provide a list and summary of all concluded, current, or threatened internal or external compliance audits or investigations or site visits, if any, in discrimination, health and safety, wage and hour, equal pay, immigration, independent contractor classification, or any other employment related areas. Include in the summary any penalties, citations, enforcement orders or similar documents, and an assessment of potential liability.</t>
  </si>
  <si>
    <t xml:space="preserve">For the last 5 years, provide a list of all allegations (oral or written) and provide copies of all complaints that any employee, independent contractor, director or other Company-related individual has engaged in discrimination, harassment (including sexual harassment or sexual misconduct), or other alleged misconduct. Include a list and summary of all concluded or pending settlements or releases pertaining to such allegations. </t>
  </si>
  <si>
    <t>Refer to VDR Index #1.4.6.6</t>
  </si>
  <si>
    <t>1.4.6.6</t>
  </si>
  <si>
    <t>Confirm the Company collects and maintains Form I-9s for each employee, and provide copies of a sampling of 25 completed Forms I-9 for current Company employees. Confirm whether the Company uses E-Verify to confirm employment eligibility.</t>
  </si>
  <si>
    <t xml:space="preserve">Confirm if the Company is a government contractor or subcontractor under federal, state or local law. To the extent applicable, provide (i) a list and summary of any affirmative action programs in place, and (ii) a summary of any inspections, audits, investigations, or governmental actions relating to government contractor obligations. </t>
  </si>
  <si>
    <t>For three non-exempt employees, copies of: (i) last two pay statements; and (ii) time records for the pay periods covered thereby.</t>
  </si>
  <si>
    <t>Refer to VDR Index #1.4.12</t>
  </si>
  <si>
    <t>1.4.12</t>
  </si>
  <si>
    <t>Confirm that the Company is not party to, or bound by, any collective bargaining agreements and other agreements or arrangements with any labor union, works council, labor organization or other employee representative body and that no Company employee is represented by any such employee representative body. Confirm that there have not been any union organizing activities or petitions at non-union facilities.</t>
  </si>
  <si>
    <t xml:space="preserve">Confirmed. </t>
  </si>
  <si>
    <t>List of all real property (i) leased (as lessee or lessor) or used by the Company or (ii) owned by the Company at any time, if any.</t>
  </si>
  <si>
    <t>Refer to VDR Index #1.6.2</t>
  </si>
  <si>
    <t>1.6.2</t>
  </si>
  <si>
    <t>Any purchase or sale agreements related to real property and all other documentation of ownership.</t>
  </si>
  <si>
    <t>Copies of all lease agreements related to real property and all other documentation related to leasehold interests, any encumbrances or restrictions against transfer on such property (including easements, zoning variances, condemnation or eminent domain orders or proceedings, deeds of trust, mortgages and fixture lien filings), and any title insurance policies or title searches.</t>
  </si>
  <si>
    <t>Environmental reports or studies relating to the Company’s properties, assets and facilities.</t>
  </si>
  <si>
    <t>Any permits, approvals or authorizations required under environmental laws in connection with the Company’s business or the operation of any of the Company’s facilities (e.g., wastewater discharge permits, air emissions permits, storm water permits.)</t>
  </si>
  <si>
    <t>Please confirm the Company has not been subject to any litigation, administrative proceedings, orders, decrees or enforcement actions concerning environmental matters or hazardous materials.</t>
  </si>
  <si>
    <t>Inventory of hazardous materials used or stored by the Company (or confirm only chemical use is typical office cleaning supplies).</t>
  </si>
  <si>
    <t>All documentation relating to hazardous waste generation, transport and disposal (or confirm no hazardous waste generation).</t>
  </si>
  <si>
    <r>
      <t xml:space="preserve">Standard form agreements with customers and suppliers, </t>
    </r>
    <r>
      <rPr>
        <sz val="10"/>
        <color theme="1"/>
        <rFont val="Times New Roman"/>
        <family val="1"/>
      </rPr>
      <t>and any agreements that materially deviate from such standard forms.</t>
    </r>
  </si>
  <si>
    <t>Refer to VDR Index #1.6</t>
  </si>
  <si>
    <t>1.6</t>
  </si>
  <si>
    <t>Agreements with the Company’s top 15 customers and a schedule of such customers, indicating the aggregate revenue attributable to each in 2023 and year-to-date 2024.</t>
  </si>
  <si>
    <t>1.6.4</t>
  </si>
  <si>
    <r>
      <t>Agreements with the Company’s top 15 vendors and suppliers and a schedule of such vendors and suppliers, indicating the services or goods provided by each and the aggre</t>
    </r>
    <r>
      <rPr>
        <sz val="10"/>
        <color theme="1"/>
        <rFont val="Times New Roman"/>
        <family val="1"/>
      </rPr>
      <t xml:space="preserve">gate dollar volume of purchases </t>
    </r>
    <r>
      <rPr>
        <sz val="10"/>
        <color rgb="FF000000"/>
        <rFont val="Times New Roman"/>
        <family val="1"/>
      </rPr>
      <t>in 2023 and year-to-date 2024.</t>
    </r>
  </si>
  <si>
    <t>Agreements with any other business relationships that are (or are expected to be) material to Company revenue or profit (e.g., material resellers and distributors).</t>
  </si>
  <si>
    <t>1.6.6</t>
  </si>
  <si>
    <t>All sales representative, agency and similar agreements.</t>
  </si>
  <si>
    <t>Refer to VDR Index #1.6.6.1-5</t>
  </si>
  <si>
    <t>1.6.6.1-5</t>
  </si>
  <si>
    <t>All contracts to pay commissions or broker’s fees and charges.</t>
  </si>
  <si>
    <t>Refer to VDR Index #1.6.6.7</t>
  </si>
  <si>
    <t>1.6.6.7</t>
  </si>
  <si>
    <t>All agreements related to any research and development.</t>
  </si>
  <si>
    <t>Refer to VDR Index #1.6.6.6</t>
  </si>
  <si>
    <t>1.6.6.6</t>
  </si>
  <si>
    <t>All joint venture, franchise, partnership, collaboration, strategic, business alliance or any similar agreements.</t>
  </si>
  <si>
    <t>Refer to VDR Index #1.6.6</t>
  </si>
  <si>
    <t>All material agreements and arrangements (written or oral) between the Company and any of its affiliates, including:
a.	intercompany agreements;
b.	all such agreements and arrangements relating to accounting, payroll, employee benefits, human resources, information technology or other services used by the Company in the operation of its business;
c.	any guarantee of any obligation (i) of the Company by any affiliate or (ii) of any affiliate by the Company;
d.	any shareholder or director/officer loan agreements or similar arrangements;
e.	any keepwell, net worth maintenance agreement, reimbursement obligation or letter of comfort of the Company imposing any obligations on an affiliate; and
f.	any other material documents relating to any other material transaction between the Company and any member, manager, director or officer of the Company or any of its affiliates.</t>
  </si>
  <si>
    <t>Refer to VDR Index #1.1.1, 1.1.2, 1.1.4, 1.1.6, 1.4.4, 1.4.7, 1.4.10</t>
  </si>
  <si>
    <t>1.1.1, 1.1.2, 1.1.4, 1.1.6, 1.4.4, 1.4.7, 1.4.10</t>
  </si>
  <si>
    <t xml:space="preserve">Contracts, agreements, arrangements or understandings that bind the Company to a non-compete, non-solicit, exclusivity, non-hire, non-interference or other material restrictive covenant. </t>
  </si>
  <si>
    <t>Copies of all contracts, agreements, arrangements or understandings under which the Company (i) has, or receives the benefit of, any surviving representations or warranties or any ongoing obligation to indemnify, defend or hold harmless, or (ii) is subject to any other material commitment, contingency or liability not specifically and expressly reflected in the latest consolidated financial statements of the Company.</t>
  </si>
  <si>
    <t>All documentation related to threatened or pending litigation, investigation, administrative charges, consent decrees or complaints, or arbitration to which the Company or any of its directors, managers, members, officers or employees, applicants, or independent contractors is, has been or would be a party. Also describe any similar matters which were material to the Company and which were adjudicated or settled in the last 5 years.</t>
  </si>
  <si>
    <t>Refer to VDR Index #1.5.5 and 1.5.6</t>
  </si>
  <si>
    <t>All consent decrees, judgments, other decrees or orders, settlement agreements, injunctions or similar matters (continuing or contingent) to which the Company is (or within the past 3 years has been) a party or involving any person in his capacity as a shareholder, officer, director, principal, partner, member or employee of the Company.</t>
  </si>
  <si>
    <t>Discuss any disputes with business relations, including customers and suppliers.</t>
  </si>
  <si>
    <t>Documentation with respect to any pending or threatened disputes with any governmental agency.</t>
  </si>
  <si>
    <t>Counsel’s letters to accountants with respect to litigation, contingent liabilities, etc. for the past 3 years.</t>
  </si>
  <si>
    <t>Waivers or agreements canceling claims or rights of substantial value.</t>
  </si>
  <si>
    <t>Schedule of any litigation involving a director, partner or officer concerning bankruptcy, crimes, fraud, or business practices.</t>
  </si>
  <si>
    <t>Describe in detail any Company transactions or dealings, direct or indirect with or involving Cuba, Iran, North Korea, Ukraine, or Venezuela, or with the governments of these countries/regions. If none, please confirm.</t>
  </si>
  <si>
    <t>Describe in detail any company interactions  (i.e. suppliers, customers, vendors, subsidiaries, employees, contractors, board members, investors/shareholders etc.)  with China (including Hong Kong), Russia, Belarus, Myanmar (Burma) and Ukraine, and any recent changes to the Company’s approach to interactions involving these jurisdictions.</t>
  </si>
  <si>
    <t>Has the Company ever engaged in any direct or indirect transaction (including free) with any person/entity on the:
a.	OFAC Specially Designated Nationals and Consolidated Sanctions List?
b.	BIS Denied Persons, BIS Entity List, or BIS Unverified List (if exportation of an item)?</t>
  </si>
  <si>
    <t>Confirm if the Company exports any products, software (via download or otherwise, including mobile applications), or technology from the United States. If yes, please state the Export Classification Number (ECCN), EAR99 designation, or ITAR US Munitions List Category for each exported item, noting how this was determined (i.e., by self-classification or official agency classification).</t>
  </si>
  <si>
    <t xml:space="preserve">Do Company products perform cryptography or contain parts/components capable of information security functions (encryption, decryption, key management, authentication, copy protection, anti-virus protection), even if only by reliance upon or calls to third-party / open source encryption? If so, has the Company filed Classification Requests, submitted any required reporting to BIS, or relied on License Exception ENC? Please specify and provide related documentation. </t>
  </si>
  <si>
    <t xml:space="preserve">Confirm if the Company employs foreign nationals or engages software development firms or similar third party vendors. Confirm if any of these employees, contractors, or vendors have access to the Company’s proprietary source code or technology. If so, list the countries and capacities of each employee, contractor or vendor. </t>
  </si>
  <si>
    <r>
      <t>Describe how the Company ensures compliance with country- and list-based export control and sanctions obligations (</t>
    </r>
    <r>
      <rPr>
        <i/>
        <sz val="10"/>
        <color theme="1"/>
        <rFont val="Times New Roman"/>
        <family val="1"/>
      </rPr>
      <t>e.g.,</t>
    </r>
    <r>
      <rPr>
        <sz val="10"/>
        <color theme="1"/>
        <rFont val="Times New Roman"/>
        <family val="1"/>
      </rPr>
      <t xml:space="preserve"> geo-IP blocking, restricted-party screening, etc.).</t>
    </r>
  </si>
  <si>
    <t>HST's officer regularly keeps updated on state and federal regulation and law updates that apply to HST and rolls out policies that implement such updates</t>
  </si>
  <si>
    <r>
      <t>Does the Company import any goods into the United States (</t>
    </r>
    <r>
      <rPr>
        <i/>
        <sz val="10"/>
        <color theme="1"/>
        <rFont val="Times New Roman"/>
        <family val="1"/>
      </rPr>
      <t>i.e.</t>
    </r>
    <r>
      <rPr>
        <sz val="10"/>
        <color theme="1"/>
        <rFont val="Times New Roman"/>
        <family val="1"/>
      </rPr>
      <t>, as importer of record)? Describe such goods and countries of origin.</t>
    </r>
  </si>
  <si>
    <t>Confirm if the Company utilizes resellers, distributors, sales representatives or similar intermediaries to market or sell products/services outside the United States. If so, please identify the authorized territories, provide copies of any relevant written agreements and describe how the Company approaches anti-corruption compliance when using intermediaries or agents.</t>
  </si>
  <si>
    <t>Confirm whether the Company has any non-US government customers, including local, municipal, state, provincial, federal, and national government entities, as well as state-owned commercial enterprises. If so, identify the customers by name and country.</t>
  </si>
  <si>
    <t>Confirm whether the Company has sought any registrations, licenses, permits, or other regulatory approvals or actions from any non-U.S. government entity, including local, municipal, state, provincial, federal, and national governments. If so, please describe the approvals and identify the countries.</t>
  </si>
  <si>
    <t>Has Company provided payments, gifts, hospitality (e.g., meals, lodging, travel, entertainment), contributions, donations or anything else of value to any government official, government employee, candidate for political office, political party, or government agency?</t>
  </si>
  <si>
    <t>Has the Company analyzed its compliance with the Data Security Program? If so, please describe any changes the Company has made to comply with the Data Security Program?</t>
  </si>
  <si>
    <t xml:space="preserve">The company does not transact with countries of concern so it is not applicable </t>
  </si>
  <si>
    <t>Does the Company sell or license data to any third parties? If so, please identify the third parties, where they are located, and the types of data that may be sold or licensed.</t>
  </si>
  <si>
    <t>Has the Company maintained or collected any identifiable data within any of the following categories on greater than one million individuals within the past year: (i) financial data that could be used to analyze or determine an individual’s financial distress or hardship; (ii) the set of data in a consumer report; (iii) the set of data in an application for health insurance; (iv) data relating to the physical, mental, or psychological health condition of an individual; (v) non-public electronic communications, including email, messaging, or chat communications, between or among users of the Company’s products or services if a primary purpose of such product or service is to facilitate third-party user communications;  (vi) geolocation data; and (vii) the results of an individual’s genetic tests, including any related sequencing data?</t>
  </si>
  <si>
    <t>The company collects any patient health information (as defined in HIPAA) that their customers input into the systems, which include but are not limited to: patient name, DOB, service details, insurance details, etc.</t>
  </si>
  <si>
    <t>Does the Company target or tailor products or services to any U.S. executive branch agency or military department with intelligence, national security, or homeland security responsibilities, or to personnel and contractors thereof? How?</t>
  </si>
  <si>
    <t xml:space="preserve">High </t>
  </si>
  <si>
    <t>Confirm whether the Company has written export controls, sanctions, or FCPA/anti-bribery compliance policies and procedures. Please provide copies. Does the Company provide training to its personnel in any of these areas?</t>
  </si>
  <si>
    <t>The company has a policy of business ethics that prohibits receiving gifts. Refer to VDR Index #1.5.7.3</t>
  </si>
  <si>
    <t>1.5.7.3</t>
  </si>
  <si>
    <t>Violations, voluntary self-disclosures, investigations, government inquiries, allegations, or enforcement actions by, against, or involving the Company relating to export controls, sanctions, import/customs, or anti-corruption compliance.  If any, describe.</t>
  </si>
  <si>
    <t>Are the solutions and offerings described (including in the videos) on www.hstpathways.com all of the Company’s products, services and technology? Are there other products, services or technology that the Company has previously marketed or sold, currently markets or sells or are under development? Please provide a description of any missing product or service information.</t>
  </si>
  <si>
    <t>The website is up to date.</t>
  </si>
  <si>
    <t>Provide a list of employees, independent contractors and consultants (including consulting companies) who created or developed the products, services or technology? For each, identify where such developer is based.</t>
  </si>
  <si>
    <t>Refer to VDR Index #1.4.2 for all developers and locations</t>
  </si>
  <si>
    <t>Confirm all prior and current employees, independent contractors and consultants have signed the Company’s form of Confidentiality and Invention Assignment Agreement uploaded into the data room?</t>
  </si>
  <si>
    <t>The vast majority have, but some legacy employees have not</t>
  </si>
  <si>
    <t>Provide any other agreements pursuant to which the Company acquired or sold any product, component of a product or intellectual property right (e.g., acquisition agreements or any consulting or development agreements not identified above).</t>
  </si>
  <si>
    <t>None. All acquisitions of technology have been pursuant to an acquisition of an entire company</t>
  </si>
  <si>
    <t>If the development of any Company products, technology or intellectual property rights has been funded by third parties, including government or academic funds, identify and provide copies of any relevant documents.</t>
  </si>
  <si>
    <t>Are any of the Company’s products, technology or intellectual property rights jointly owned? If so, please describe and provide any joint development or collaboration agreements.</t>
  </si>
  <si>
    <t>Provide copies of all in-licenses and out-licenses of technology or intellectual property rights to which the Company is party (excluding off-the-shelf, click-thru license agreements and open source software licenses). If the Company licenses from third parties any technology (other than open source software) or intellectual property rights that is used in its products, please provide a list and description of the applicable technology or IP rights, the products in which it is used and the manner in which it is used.</t>
  </si>
  <si>
    <t xml:space="preserve">The Company have thousands of fairly standard HL7 integrations with customers, healthcare systems, hospitals, etc.  In addition to those, the company has API-based integrations with external vendors like DoseSpot (drug interactions data for eChart), Vonage (SMS messaging), Faxage (eFax documents to DocHub), Synergen (scheduled cases and op notes), Global Payments (HST Pay), patient monitors (eChart), Okta (authentication for all products), etc.  </t>
  </si>
  <si>
    <t>In the case of open source (permissive and copyleft), public domain, free software, or community source code materials (e.g., software and documentation) incorporated in, linked to or distributed or otherwise used with, the Company’s products, services or technology, please provide the information set forth below (spreadsheet format is acceptable) on a product-by-product basis, broken down by software that is: (i) included in or used by software that is distributed to customers and (ii) included in or used by software that is not distributed to customers, such as server-side code that makes software services available to customers.</t>
  </si>
  <si>
    <t xml:space="preserve">The Company does not have this breakdown readily accessible, but defining their open source software is something they are actively working on </t>
  </si>
  <si>
    <t>Requested information: (a) a list of such software packages; (b) identification of the license that governs the open source package (if it is non-standard, please provide a copy of the license); and (c) for each open source package that is distributed, please provide: (i) a description of how the Company complies with the notice, attribution and other requirements of each applicable license; and (ii) if the open source package is governed by a “copyleft” open source license, (A) a statement regarding whether the open source package has been modified and (B) a description of how it is being used in relation to the Company’s products (e.g., incorporated, statically linked, dynamically linked).</t>
  </si>
  <si>
    <t>Refer to VDR Index #1.8.13 and 1.5.2</t>
  </si>
  <si>
    <t>1.8.13 &amp; 1.5.2</t>
  </si>
  <si>
    <t>Does the Company use any generative AI technology in the development of technology or intellectual property, or for any other purpose? If so, please describe the manner in which the technology is used. Does the Company have a written policy on the use in its business of generative AI technology? If so, please provide. Please also provide a copy of the applicable license agreements under which such technology is used, and describe how the Company uses such technology (e.g., internally for research, for responses provided by external chatbots, in software development).</t>
  </si>
  <si>
    <t>Refer to VDR Index # 1.8.13. Yes, the company has agreements with all their AI Models</t>
  </si>
  <si>
    <t>1.8.13</t>
  </si>
  <si>
    <t>Does the Company have a written information security policy or program that protects trade secret protected technology (e.g., source code)? If so, please provide. Have there been any breaches of such policy or program? If so, describe.</t>
  </si>
  <si>
    <t xml:space="preserve">Refer to VDR Index #1.8.4 and 1.8.10 </t>
  </si>
  <si>
    <t>1.8.4 &amp; 1.8.10</t>
  </si>
  <si>
    <t xml:space="preserve">Please describe the Company’s policy regarding the use of nondisclosure agreements. </t>
  </si>
  <si>
    <t>All standard customer agreements include confidentiality language by default, so the Company does not typically also enter into NDAs. However, if a new customer wishes to receive a copy of confidential SOC2 or HITRUST reports (or other confidential information) before entering into a customer agreement, the Company  always execute a NDA before sharing the reports</t>
  </si>
  <si>
    <t>Have any of the Company’s trade secrets (e.g., source code) been disclosed to a third party or placed in escrow? If so, please provide copies of the agreements under which the disclosure took place.</t>
  </si>
  <si>
    <t>Do the U.S. trademark registrations and registered domain names disclosed in the data room represent the comprehensive list of registrations and applications for registration of patents, trademarks, copyrights, and domain names made in the name of the Company? If not, please provide materials related to any other registrations and applications for registration of patents, trademarks, copyrights, and domain names that have not already been disclosed. Provide proof of ownership (e.g., screen shots of the domain name registrar console showing ownership) for each disclosed domain name registration.</t>
  </si>
  <si>
    <t>Refer to VDR Index #1.5.1</t>
  </si>
  <si>
    <t>Are there any outstanding office actions or disputes related to the Company’s patents, trademarks, copyrights or domain names?</t>
  </si>
  <si>
    <t>Do all the Company’s customers execute the form of Master Software as a Service Agreement or otherwise agree to the online Terms &amp; Conditions? Please provide any agreements with customers on some other agreement form.</t>
  </si>
  <si>
    <t xml:space="preserve">Almost all customers agree to the standard form (with or without edits), but approximately 5% insist on contracting on its own contract template. In that scenario, the company will amend their template to include their own terms. </t>
  </si>
  <si>
    <t>Provide copies of any distribution (e.g., OEM) or reseller agreements, other than those made on the form of Strategic Partnership and Collaboration Agreement that has already been uploaded into the data room.</t>
  </si>
  <si>
    <t>If Company has sold or assigned to any third party any products or IP rights, provide copies of the relevant agreements.</t>
  </si>
  <si>
    <t>Other than under any of the above-described agreements, does the Company license-out to any third parties any of its products or intellectual property rights? If so, please provide copies of the relevant agreements.</t>
  </si>
  <si>
    <t>Is the Company aware of any third party that is misusing or has misused any product or is infringing or has infringed the Company’s intellectual property rights? If so, describe, including any steps that the Company has taken to resolve the matter.</t>
  </si>
  <si>
    <t>Have there been any activities that has infringed or may infringe a third party’s intellectual property rights? If so, please describe.</t>
  </si>
  <si>
    <r>
      <t>Is Company compliant with licenses for 3</t>
    </r>
    <r>
      <rPr>
        <vertAlign val="superscript"/>
        <sz val="10"/>
        <color theme="1"/>
        <rFont val="Times New Roman"/>
        <family val="1"/>
      </rPr>
      <t>rd</t>
    </r>
    <r>
      <rPr>
        <sz val="10"/>
        <color theme="1"/>
        <rFont val="Times New Roman"/>
        <family val="1"/>
      </rPr>
      <t xml:space="preserve"> party software it uses, including seat or other restrictions? If not, describe.</t>
    </r>
  </si>
  <si>
    <t>Yes</t>
  </si>
  <si>
    <t>Provide any correspondence, court documents relating to and settlement agreements regarding any infringement claims.</t>
  </si>
  <si>
    <t>Any third-party litigation, claims, or criticism related to deceptive advertising, marketing, or intellectual property infringement?</t>
  </si>
  <si>
    <t>Details of any data security incidents or data breaches suffered by the Company or confirm that none has occurred.</t>
  </si>
  <si>
    <t>All current and past privacy notices, including to employees, consumers, and business contacts, and information security policies, including any internal documents governing the Company’s data security protocols and procedures.</t>
  </si>
  <si>
    <t>Refer to VDR Index #1.5.7</t>
  </si>
  <si>
    <t>1.5.7</t>
  </si>
  <si>
    <t>Description of the types of personal information collected by the Company and the categories of individual whom the Company collects such information from (e.g., employees, business contacts, patients, etc.).</t>
  </si>
  <si>
    <t>Details of any complaint, lawsuits, inquiries, investigation or other interaction with any authority or individuals in relation to the Company’s compliance with applicable privacy and data security requirements.</t>
  </si>
  <si>
    <t xml:space="preserve">Agreements with third parties who may have access to, collect, store, use or disclose personal information for the Company. </t>
  </si>
  <si>
    <t>Many of the company's vendors, at a minimum, have access to personal information. Refer to VDR Index #1.6.5</t>
  </si>
  <si>
    <t>Explain where and how personal information is stored, including whether it is stored exclusively in digital form, if it is encrypted at rest, and whether it is stored on the Company’s own servers or that of others. Provide copies of any written information security policies and employee training materials. Describe the scope of training program, including frequency.</t>
  </si>
  <si>
    <t>Personal info is mostly stored digitally. Some data is stored physically, and all storage is according to industry security standard and encrypted at rest. Training is uploaded at  VDR Index #1.5.7.4</t>
  </si>
  <si>
    <t>1.5.7.4</t>
  </si>
  <si>
    <t>Reports from all data security risk assessments, audits and/or penetration testing. Describe the schedule and policy for such tests.</t>
  </si>
  <si>
    <t>Refer to VDR Index #1.8.4.5</t>
  </si>
  <si>
    <t>Documentation regarding compliance with any specific industry standard (e.g., NIST CF, CIS, CSC, ISO 27001).</t>
  </si>
  <si>
    <t>All documentation concerning compliance with the Payment Card Industry – Data Security Standard (PCI-DSS), including (a) the most recently completed Self-Assessment Questionnaire and (b) a list of all payment processors used by the Company.</t>
  </si>
  <si>
    <t>The company uses a third party vendor to process their credit card payments, so they  do not need to be compliant with PCI DSS</t>
  </si>
  <si>
    <t xml:space="preserve">Docs about the steps the Company has taken to comply with the California Consumer Privacy Act (CCPA) and other applicable state privacy laws. </t>
  </si>
  <si>
    <t>Refer to VDR Index # 1.5.4 &amp; 1.8 &amp; 1.8.10</t>
  </si>
  <si>
    <t>1.5.4 &amp; 1.8 &amp; 1.8.10</t>
  </si>
  <si>
    <t>Emails sent to market the Company’s services. Confirm the Company does not do any marketing by text messaging and does not do any pre-recorded or “robo” phone calling.</t>
  </si>
  <si>
    <t>Confirmed the company does not</t>
  </si>
  <si>
    <t>Description of any business/activities outside of the United States and details (and copies of all documentation) about the steps taken by the Company to comply with foreign privacy and information security laws, where applicable.</t>
  </si>
  <si>
    <t>Refer to VDR Index #1.1.9 with Canadian registration information. We registered in Alberta because that is the location of our database.  Canada is the only country outside of the US that the Company does any business with</t>
  </si>
  <si>
    <t>1.1.9</t>
  </si>
  <si>
    <t>Please disclose whether the Company is subject to Washington’s My Heath, My Data Act and, if so, describe the steps that the Company has taken to comply with the law, identify the compliance steps that remain and the dates upon which each compliance task is expected to be completed.</t>
  </si>
  <si>
    <t>The company is not subject to MHMDA because of the HIPAA exception</t>
  </si>
  <si>
    <t>Confirm Company targets services or maintains business operations outside of the US. List all such jurisdictions.</t>
  </si>
  <si>
    <t>Canada is the only country outside of the US that the Company has business activity. Refer to VDR Index #1.1.9</t>
  </si>
  <si>
    <t>Thank you for providing the 2024 HIPAA risk assessment. Please (a) confirm whether these assessments are completed annually, (b) confirm that all recommendations in the 2024 HIPAA risk assessment have been implemented or, if not, please identify those that remain in progress and provide an update on status, and (c) provide a copy of the 2025 completed HIPAA risk assessment or confirm not yet completed.</t>
  </si>
  <si>
    <t>Assesments are completed annually and the reccommendations in the 2024 assessment have been implemented
Refer to VDR Index #1.5.4.5 for the 2025 report</t>
  </si>
  <si>
    <t>1.5.4.3 &amp; 1.5.4.5</t>
  </si>
  <si>
    <t>We note receipt of the template HIPAA Business Associate Agreement (“BAA”). Please provide (i) copies of any executed BAAs that materially differ from the template or confirm none and (ii) a copy of a template or executed Business Associate Subcontractor Agreements (“BASAs”) between the Company and any subcontractors that access protected health information (“PHI”).</t>
  </si>
  <si>
    <t>Refer to VDR Index #1.6.1.5 &amp; 1.6.1.6</t>
  </si>
  <si>
    <t>1.6.1.5 &amp; 1.6.1.6</t>
  </si>
  <si>
    <t>Confirm the Company has executed BAAs with all customers and BASAs with vendors/subcontractors as required under HIPAA.</t>
  </si>
  <si>
    <t>Please confirm whether the Company de-identifies PHI, sells PHI, uses PHI in marketing, or allows access to PHI to offshore personnel contractors, or other persons. If so, provide any policies or other documentation governing such use (if any).</t>
  </si>
  <si>
    <t>Confirming the company does de-identify. No, the company does not sell, market, or allow offshore personnel to access PHI</t>
  </si>
  <si>
    <t>We understand that all Company employees undergo annual HIPAA training. Please provide copies of any training materials.</t>
  </si>
  <si>
    <t>Refer to VDR Index #1.5.7.4</t>
  </si>
  <si>
    <t>To the extent not addressed elsewhere, confirm and provide all documentation of any breach or security incident involving PHI.</t>
  </si>
  <si>
    <t>Refer to VDR index #1.8.11</t>
  </si>
  <si>
    <t>Please provide the Company’s policies and procedures related to compliance with HIPAA, Information, Blocking Rules, and other laws governing electronic health information, including patient record retention policies, information blocking policies, etc. or confirm all such policies have been provided.</t>
  </si>
  <si>
    <t>Refer to VDR Index #1.5.4</t>
  </si>
  <si>
    <t>1.5.4</t>
  </si>
  <si>
    <t>Please (i) provide copies of all certifications, permits, licenses, accreditations, registrations, or approvals by or from any federal, state, or local governmental authority or agency (“Permits”) held by the Company, including, for example, ONC certification; and (ii) confirm whether any such Permits have been subject to termination, revocation, suspension, fines or any other criminal, civil or administrative action by a governmental authority or agency.</t>
  </si>
  <si>
    <t>None except those held by JLM</t>
  </si>
  <si>
    <t>Confirm whether Company engages any health care providers (e.g., physicians) as consultants or employees. If so, describe.</t>
  </si>
  <si>
    <t>The Company does not.</t>
  </si>
  <si>
    <t>If not provided in response to other requests, provide all agreements with health care providers (e.g., customer agreements, leases, stock options, etc.), health information exchanges, health IT companies, electronic health records systems, and similar entities.</t>
  </si>
  <si>
    <t>Please provide copies of any policies, procedures or other documentation related to the Company’s compliance program, including interactions with health care providers and billing and coding.</t>
  </si>
  <si>
    <t xml:space="preserve">The company does not contract with healthcare professionals or certified coders. The Company's Cybersecurity/Compliance teams meet every two weeks, so they would have to upload many minutes to comply with this request. In addition, the content of the company's minutes to these meetings are highly confidential. Refer to VDR Index # 1.1.7 to show that these meetings have occurred. </t>
  </si>
  <si>
    <t>Please identify the individual(s) responsible for overseeing the Company’s compliance program and describe the key components of the compliance program (e.g., Compliance Officer, employee training, hotline, tracking of compliance concerns/resolution).</t>
  </si>
  <si>
    <t>The Company's Chief Compliance Officer performs all of the indicated functions</t>
  </si>
  <si>
    <t>Provide (a) minutes of compliance committee meetings, and hotline reports, and (b) any HIPAA security incident log(s).</t>
  </si>
  <si>
    <t>Provide copies of any compliance-related training materials, if any.</t>
  </si>
  <si>
    <t>Refer to VDR index #1.5.7.4</t>
  </si>
  <si>
    <t>Confirm whether the Company conducts any internal review or audit of its coding platform and, if so, describe the process, frequency, and provide a copy of the most recent such review or audit.</t>
  </si>
  <si>
    <t>Refer to VDR Index #1.8.4 &amp; 1.8.10</t>
  </si>
  <si>
    <t>Indicate whether the Company conducts background checks on personnel and/or vendors. If so, indicate whether this includes screening against federal and/or state government debarment and/or exclusion lists and the frequency of such screening.  
Please also: (i) identify the person(s) responsible for overseeing such screening, (ii) note any “hits” identified during the past five (5) years, and (iii) list any current or past owner, employee, director, officer or contractor of the Company known to have been suspended or excluded from a federal or state health care program, or otherwise debarred from a federal program</t>
  </si>
  <si>
    <t>Yes. The Company screens employees against federal exclusion lists annually. The Company's Senior Director of People Services oversees this process as part of employment</t>
  </si>
  <si>
    <t>Has the Company or any employee, director, officer or contractor ever (i) been a party to a Corporate Integrity Agreement or similar agreement with the OIG, (ii) had reporting obligations pursuant to any settlement agreement entered into with any governmental authority, (iii) made any filings pursuant to the OIG’s Self Disclosure Protocol, (iv) received notice from any governmental authority that they are or were a defendant or potential target in any qui tam or False Claims Act litigation, (v) been served with or received any written search warrant, subpoena (other than those related to actions against third parties), civil investigative demand, contact letter, or any other request for documents or testimony, from any court or governmental authority, or (vi) been a party to any monitoring agreements, deferred prosecution agreement, consent decrees, settlement orders, or similar agreements imposed by or with any governmental authority. If so, provide any related documentation.</t>
  </si>
  <si>
    <t>Project Horizon</t>
  </si>
  <si>
    <t>Employee Benefit Census</t>
  </si>
  <si>
    <t>Name of Company</t>
  </si>
  <si>
    <t>Street Address:</t>
  </si>
  <si>
    <t>City, State, Zip:</t>
  </si>
  <si>
    <t>SIC or Type of Industry:</t>
  </si>
  <si>
    <t>Fed Tax ID#:</t>
  </si>
  <si>
    <t>Census Date:</t>
  </si>
  <si>
    <t>NOTE - If more than one plan is offered for each benefit (i.e. a base &amp; buy-up medical plan), please insert additional columns &amp; include the specific plan name picked for each enrollee.</t>
  </si>
  <si>
    <t>If an employee does not receive or did not elect a coverage below, please leave blank</t>
  </si>
  <si>
    <t>Number of Pay Periods</t>
  </si>
  <si>
    <t>Benefit Elections</t>
  </si>
  <si>
    <t>Ancillary Volume</t>
  </si>
  <si>
    <t>No.</t>
  </si>
  <si>
    <t>Last Name</t>
  </si>
  <si>
    <t>First Name</t>
  </si>
  <si>
    <t>Gender</t>
  </si>
  <si>
    <t>Date of Birth</t>
  </si>
  <si>
    <t>Date of Hire</t>
  </si>
  <si>
    <t>Age</t>
  </si>
  <si>
    <t>Zip Code</t>
  </si>
  <si>
    <t>State</t>
  </si>
  <si>
    <t>Per Pay Period Salary</t>
  </si>
  <si>
    <t>Hourly Rate</t>
  </si>
  <si>
    <t>Actual Hours Worked per Week</t>
  </si>
  <si>
    <t>Annual Salary/ Earnings</t>
  </si>
  <si>
    <t>Occupation</t>
  </si>
  <si>
    <t>Employment Status (Active, COBRA, etc.)</t>
  </si>
  <si>
    <t>Employment Class (if applicable)</t>
  </si>
  <si>
    <t>Employment Type (Union, Non-union, etc.)</t>
  </si>
  <si>
    <t>Dependent 1 Name</t>
  </si>
  <si>
    <t>Dependent 1 Gender</t>
  </si>
  <si>
    <t>Dependent 1 DOB</t>
  </si>
  <si>
    <t>Dependent 1 Relationship</t>
  </si>
  <si>
    <t>Dependent 1 Tax ID</t>
  </si>
  <si>
    <t>Dependent 2 Name</t>
  </si>
  <si>
    <t>Dependent 2 Gender</t>
  </si>
  <si>
    <t>Dependent 2 DOB</t>
  </si>
  <si>
    <t>Dependent 2 Relationship</t>
  </si>
  <si>
    <t>Dependent 2 Tax ID</t>
  </si>
  <si>
    <t>Dependent 3 Name</t>
  </si>
  <si>
    <t>Dependent 3 Gender</t>
  </si>
  <si>
    <t>Dependent 3 DOB</t>
  </si>
  <si>
    <t>Dependent 3 Relationship</t>
  </si>
  <si>
    <t>Dependent 3 Tax ID</t>
  </si>
  <si>
    <t>Medical Plan Name</t>
  </si>
  <si>
    <t>Medical Coverage Tier</t>
  </si>
  <si>
    <t>EE Cost</t>
  </si>
  <si>
    <t>ER Cost</t>
  </si>
  <si>
    <t>Dental Plan Name</t>
  </si>
  <si>
    <t>Dental Coverage Tier</t>
  </si>
  <si>
    <t>Vision Plan Name</t>
  </si>
  <si>
    <t>Vision Coverage Tier</t>
  </si>
  <si>
    <t>Basic Life</t>
  </si>
  <si>
    <t>AD&amp;D</t>
  </si>
  <si>
    <t>Vol Life</t>
  </si>
  <si>
    <t>STD</t>
  </si>
  <si>
    <t>LTD</t>
  </si>
  <si>
    <t>Figure #1</t>
  </si>
  <si>
    <t>Tenure</t>
  </si>
  <si>
    <t>'25E CARR ($m)</t>
  </si>
  <si>
    <t>% of Total CARR</t>
  </si>
  <si>
    <t>10+ Years</t>
  </si>
  <si>
    <t>[ ]</t>
  </si>
  <si>
    <t>7 - 10 Years</t>
  </si>
  <si>
    <t>5 - 7 Years</t>
  </si>
  <si>
    <t>3 - 5 Years</t>
  </si>
  <si>
    <t>&lt; 3 Years</t>
  </si>
  <si>
    <t>Enter the tool(s) used for the functions called out in each of the tables below</t>
  </si>
  <si>
    <t>Software Development Tools</t>
  </si>
  <si>
    <t>ID</t>
  </si>
  <si>
    <t>Function</t>
  </si>
  <si>
    <t>Tool / Product Name</t>
  </si>
  <si>
    <t>Version</t>
  </si>
  <si>
    <t># Users</t>
  </si>
  <si>
    <t>Annual Licensing Cost</t>
  </si>
  <si>
    <t>Source Control</t>
  </si>
  <si>
    <t>Github Enterprise</t>
  </si>
  <si>
    <t>Cloud</t>
  </si>
  <si>
    <t>$30K</t>
  </si>
  <si>
    <t>Development IDE(s)</t>
  </si>
  <si>
    <t>Visual Studio, Visual Code, Rubymine, etc.</t>
  </si>
  <si>
    <t>~100</t>
  </si>
  <si>
    <t>n/a</t>
  </si>
  <si>
    <t>Database IDE(s)</t>
  </si>
  <si>
    <t>none</t>
  </si>
  <si>
    <t>Team Collaboration</t>
  </si>
  <si>
    <t>Atlassian (Jira, Confluence)</t>
  </si>
  <si>
    <t>~200</t>
  </si>
  <si>
    <t>$163K</t>
  </si>
  <si>
    <t>Development Tasks</t>
  </si>
  <si>
    <t>Atlassian (Jira)</t>
  </si>
  <si>
    <t>Inc in above</t>
  </si>
  <si>
    <t>Code Repository</t>
  </si>
  <si>
    <t>AWS ECR</t>
  </si>
  <si>
    <t>AWS invoice</t>
  </si>
  <si>
    <t>Static Code Analysis</t>
  </si>
  <si>
    <t>Snyk</t>
  </si>
  <si>
    <t>$32K</t>
  </si>
  <si>
    <t>Unit Testing</t>
  </si>
  <si>
    <t>NUnit, MiniTest, RSpec, Cypress, Selenium, Playwright, etc</t>
  </si>
  <si>
    <t>Various</t>
  </si>
  <si>
    <t>Integration Testing</t>
  </si>
  <si>
    <t>Above tools and custom software for HL7 msgs</t>
  </si>
  <si>
    <t>Load Testing</t>
  </si>
  <si>
    <t>Nbomber, K6, Loadster, custom software</t>
  </si>
  <si>
    <t>Build</t>
  </si>
  <si>
    <t>Microsoft build tools, open source build tools for other than .Net</t>
  </si>
  <si>
    <t>Deployment</t>
  </si>
  <si>
    <t>CircleCI, AWS Step Functions, CloudWatch, Terraform</t>
  </si>
  <si>
    <t>$193K CircleCI, AWS invoice</t>
  </si>
  <si>
    <t>Application Performance Monitoring / Logging</t>
  </si>
  <si>
    <t>New Relic, AWS CloudWatch</t>
  </si>
  <si>
    <t>New Relic $41K, AWS Invoice</t>
  </si>
  <si>
    <t>Product Management &amp; Design Tools</t>
  </si>
  <si>
    <t>Customer Feedback Tracking</t>
  </si>
  <si>
    <t>Aha/Jira</t>
  </si>
  <si>
    <t>10/200</t>
  </si>
  <si>
    <t>$5k / $150k</t>
  </si>
  <si>
    <t>Product Management</t>
  </si>
  <si>
    <t>Jira/Confluence</t>
  </si>
  <si>
    <t>$150k</t>
  </si>
  <si>
    <t>User Story/Requirements Definition</t>
  </si>
  <si>
    <t>Wireframes/UI &amp; UX Design</t>
  </si>
  <si>
    <t>Figma/Augment</t>
  </si>
  <si>
    <t>$20k / TBD</t>
  </si>
  <si>
    <t xml:space="preserve">Product Ideation </t>
  </si>
  <si>
    <t xml:space="preserve">Customer Requests </t>
  </si>
  <si>
    <t>Customer Activity Analytics</t>
  </si>
  <si>
    <t>Pendo</t>
  </si>
  <si>
    <t xml:space="preserve">Product Programming Languages </t>
  </si>
  <si>
    <t>Logical Layer</t>
  </si>
  <si>
    <t>Language/Framework</t>
  </si>
  <si>
    <t>Product Where Used</t>
  </si>
  <si>
    <t>UI/Interface</t>
  </si>
  <si>
    <t>Mostly React, some Angular and Vue</t>
  </si>
  <si>
    <t>Varies</t>
  </si>
  <si>
    <t>All</t>
  </si>
  <si>
    <t>Services/APIs</t>
  </si>
  <si>
    <t>OpenAPI and Postman for documenting APIs, .Net, RoR, Node.js for services</t>
  </si>
  <si>
    <t>.Net Core, RoR 7 or later</t>
  </si>
  <si>
    <t>Routing/Load Balancing</t>
  </si>
  <si>
    <t>AWS services (ALB, Route53, NLB, etc.), Fortinet firewalls</t>
  </si>
  <si>
    <t>Containers</t>
  </si>
  <si>
    <t>AWS Elastic Container Service, Docker</t>
  </si>
  <si>
    <t>All except PM</t>
  </si>
  <si>
    <t>Databases</t>
  </si>
  <si>
    <t>Microsoft SQL Server, PostgreSQL, Cache (Clariti)</t>
  </si>
  <si>
    <t>MS SQL 2022,PostgreSQL 15.x</t>
  </si>
  <si>
    <t>PM/eC on MS SQL, everything else PostgreSQL</t>
  </si>
  <si>
    <t>Caching</t>
  </si>
  <si>
    <t>AWS ElastiCache (ValKey), Cloudfront</t>
  </si>
  <si>
    <t>Most</t>
  </si>
  <si>
    <t>Big Data</t>
  </si>
  <si>
    <t>AWS Redshift</t>
  </si>
  <si>
    <t>Search</t>
  </si>
  <si>
    <t>AWS ElasticSearch, OpenSearch</t>
  </si>
  <si>
    <t>CC,PE,DocHub</t>
  </si>
  <si>
    <t>Enterprise Messaging/Queueing</t>
  </si>
  <si>
    <t>Kafka (AWS MSK)</t>
  </si>
  <si>
    <t>Reporting</t>
  </si>
  <si>
    <t>Logi, Tableau, custom</t>
  </si>
  <si>
    <t>Latest</t>
  </si>
  <si>
    <t>Dashboards, Reporting Service</t>
  </si>
  <si>
    <t>Logging / Analytics</t>
  </si>
  <si>
    <t>CloudWatch, New Relic, etc.</t>
  </si>
  <si>
    <t>Enter the Enterprise Application, Infrastructure, and Security details in the tables below</t>
  </si>
  <si>
    <t>IT SYSTEM DETAIL</t>
  </si>
  <si>
    <r>
      <t xml:space="preserve">Vendor
</t>
    </r>
    <r>
      <rPr>
        <i/>
        <sz val="9"/>
        <rFont val="Aptos Narrow"/>
        <family val="2"/>
        <scheme val="minor"/>
      </rPr>
      <t>Enter N/A if no system</t>
    </r>
  </si>
  <si>
    <t>Product Name</t>
  </si>
  <si>
    <t># of Users / Licenses</t>
  </si>
  <si>
    <t>ERP</t>
  </si>
  <si>
    <t>Financial/Accounting System</t>
  </si>
  <si>
    <t>Sage</t>
  </si>
  <si>
    <t>Intaact</t>
  </si>
  <si>
    <t>Performance Tier 1</t>
  </si>
  <si>
    <t>$29K</t>
  </si>
  <si>
    <t>Fleet Management System</t>
  </si>
  <si>
    <t>Towing operational system</t>
  </si>
  <si>
    <t>CRM</t>
  </si>
  <si>
    <t>Salesforce</t>
  </si>
  <si>
    <t>Sales Cloud/Service Cloud</t>
  </si>
  <si>
    <t>Unlimited</t>
  </si>
  <si>
    <t>$288K</t>
  </si>
  <si>
    <t>Business Intelligence &amp; Reporting</t>
  </si>
  <si>
    <t>Tableau</t>
  </si>
  <si>
    <t>Server</t>
  </si>
  <si>
    <t>3 full, 25 view</t>
  </si>
  <si>
    <t>$13K</t>
  </si>
  <si>
    <t>Collaboration</t>
  </si>
  <si>
    <t>Microsoft Teams</t>
  </si>
  <si>
    <t>Marketing Tool / Marketing Automation</t>
  </si>
  <si>
    <t>Account Engagement</t>
  </si>
  <si>
    <t>Advanced</t>
  </si>
  <si>
    <t>$36K</t>
  </si>
  <si>
    <t>Document Mgmt.</t>
  </si>
  <si>
    <t>SharePoint, Confluence</t>
  </si>
  <si>
    <t>Procurement Technologies</t>
  </si>
  <si>
    <t>Fixed Asset Mgmt.</t>
  </si>
  <si>
    <t>IT Ticketing</t>
  </si>
  <si>
    <t>Jira</t>
  </si>
  <si>
    <t>HRIS</t>
  </si>
  <si>
    <t>Payroll</t>
  </si>
  <si>
    <t>ADP</t>
  </si>
  <si>
    <t>TotalSource</t>
  </si>
  <si>
    <t>$25K</t>
  </si>
  <si>
    <t>Time &amp; Attendance</t>
  </si>
  <si>
    <t>n/a (ADP)</t>
  </si>
  <si>
    <t>Learning Mgmt. System</t>
  </si>
  <si>
    <t>Learn Upon</t>
  </si>
  <si>
    <t>Learrn Upon</t>
  </si>
  <si>
    <t>Enterprise Band 1</t>
  </si>
  <si>
    <t>4200 customers, 285 employee</t>
  </si>
  <si>
    <t>$39K</t>
  </si>
  <si>
    <t>Performance Mgmt. System</t>
  </si>
  <si>
    <t>Clear Company</t>
  </si>
  <si>
    <t>$16K</t>
  </si>
  <si>
    <t>Infrastructure and Security Tools</t>
  </si>
  <si>
    <t>Vendor</t>
  </si>
  <si>
    <t>License Quantity</t>
  </si>
  <si>
    <t>Server Management (e.g. SCCM)</t>
  </si>
  <si>
    <t> N-Central</t>
  </si>
  <si>
    <t>N-Able</t>
  </si>
  <si>
    <t>Workstation Management (e.g. Intune, Kaseya)</t>
  </si>
  <si>
    <t> Manage Engine</t>
  </si>
  <si>
    <t>Desktop central</t>
  </si>
  <si>
    <t> Cloud</t>
  </si>
  <si>
    <t>System Monitoring (e.g. SolarWinds)</t>
  </si>
  <si>
    <t> ConnectWise</t>
  </si>
  <si>
    <t>Logicmonitor</t>
  </si>
  <si>
    <t>Backup &amp; Recovery</t>
  </si>
  <si>
    <t> Veeam</t>
  </si>
  <si>
    <t>Backup &amp; Replication</t>
  </si>
  <si>
    <t> V13</t>
  </si>
  <si>
    <t>Patch Management (e.g. WSUS)</t>
  </si>
  <si>
    <t>Workstation Endpoint Protection</t>
  </si>
  <si>
    <t>Bitdefender</t>
  </si>
  <si>
    <t>Graviton</t>
  </si>
  <si>
    <t> 400</t>
  </si>
  <si>
    <t> $12.8k</t>
  </si>
  <si>
    <t>Web Application Firewall (WAF)</t>
  </si>
  <si>
    <t> AWS</t>
  </si>
  <si>
    <t>AWS WAF</t>
  </si>
  <si>
    <t>Intrusion Detection / Intrusion Prevention/DDoS</t>
  </si>
  <si>
    <t>GuardDuty</t>
  </si>
  <si>
    <t>Any SASE/SIIEM/SSE solution in place</t>
  </si>
  <si>
    <t>no</t>
  </si>
  <si>
    <t>SSO</t>
  </si>
  <si>
    <t> Microsoft</t>
  </si>
  <si>
    <t>EntraID (note: our products use Okta)</t>
  </si>
  <si>
    <t>MFA/2FA</t>
  </si>
  <si>
    <t>EntraID</t>
  </si>
  <si>
    <t>Endpoint Protection (EDR/XDR)</t>
  </si>
  <si>
    <t> Sophos</t>
  </si>
  <si>
    <t>Taegis</t>
  </si>
  <si>
    <t> 650</t>
  </si>
  <si>
    <t> $84.2K</t>
  </si>
  <si>
    <t>Log Aggregration / Archiving</t>
  </si>
  <si>
    <t>Cloud trail/Cloud Watch</t>
  </si>
  <si>
    <t>Log Monitoring / SIEM</t>
  </si>
  <si>
    <t> Arctic Wolf</t>
  </si>
  <si>
    <t>SIEM</t>
  </si>
  <si>
    <t>Telephone</t>
  </si>
  <si>
    <t> Call Tower/AWS</t>
  </si>
  <si>
    <t>CT Communicator/Connect</t>
  </si>
  <si>
    <t>E-Mail</t>
  </si>
  <si>
    <t>Exchange O365</t>
  </si>
  <si>
    <t>Data Integrity Monitoring (e.g. Windows File Auditing)</t>
  </si>
  <si>
    <t> Bitdefender</t>
  </si>
  <si>
    <t>File Integrity Monitoring</t>
  </si>
  <si>
    <t> 100</t>
  </si>
  <si>
    <t> $2.2k</t>
  </si>
  <si>
    <t>Mobile Device Management (MDM)</t>
  </si>
  <si>
    <t>Desktop Central</t>
  </si>
  <si>
    <t>Help Desk Ticketing Tool</t>
  </si>
  <si>
    <t> Atlassian</t>
  </si>
  <si>
    <t>JSM</t>
  </si>
  <si>
    <t>Spam and fishing filtering</t>
  </si>
  <si>
    <t> Proofpoint</t>
  </si>
  <si>
    <t>Essentials</t>
  </si>
  <si>
    <t>Managed Security Services Provider</t>
  </si>
  <si>
    <t> C Spire</t>
  </si>
  <si>
    <t>C Spire</t>
  </si>
  <si>
    <t>Firewall</t>
  </si>
  <si>
    <t> AWS/Sophos/FortiGuard</t>
  </si>
  <si>
    <t> WAF/Firewall/Fortigate</t>
  </si>
  <si>
    <t>Security Training</t>
  </si>
  <si>
    <t> KnowBe4</t>
  </si>
  <si>
    <t>Enter the Engineering &amp; Product spend and team count in the tables below</t>
  </si>
  <si>
    <t>What is included in Engineering &amp; Product spend?</t>
  </si>
  <si>
    <t xml:space="preserve">Engineering &amp; Product staff costs </t>
  </si>
  <si>
    <t>Costs related to the employees who work on product development and management</t>
  </si>
  <si>
    <t>Engineering &amp; Product contractors</t>
  </si>
  <si>
    <t>Costs related to external contractors who work on product development and management</t>
  </si>
  <si>
    <t xml:space="preserve">Engineering &amp; Product other costs </t>
  </si>
  <si>
    <t>Costs related to computer costs and Travel &amp; Expenses incurred by engineering &amp; product staff and contractors</t>
  </si>
  <si>
    <t>(in '000 $)</t>
  </si>
  <si>
    <t>Spend</t>
  </si>
  <si>
    <t>Spend Focus Area</t>
  </si>
  <si>
    <t>2026 E</t>
  </si>
  <si>
    <t>New Features (new revenue driving inititives)</t>
  </si>
  <si>
    <t>Customer Retention (product enhancements)</t>
  </si>
  <si>
    <t>Technical Debt</t>
  </si>
  <si>
    <t>Regulatory/Compliance Requirements</t>
  </si>
  <si>
    <t>Maintenance</t>
  </si>
  <si>
    <t>Others</t>
  </si>
  <si>
    <t>Total spend</t>
  </si>
  <si>
    <t>Head Count - Team Members (Staff)</t>
  </si>
  <si>
    <t>Comments on locations of team members</t>
  </si>
  <si>
    <t>Development</t>
  </si>
  <si>
    <t>QA</t>
  </si>
  <si>
    <t>IT/DevOps</t>
  </si>
  <si>
    <t>Managers/Executive</t>
  </si>
  <si>
    <t>Head Count - Team Members (Contractors)</t>
  </si>
  <si>
    <t>Total Head Count</t>
  </si>
  <si>
    <t>Contractors - Mexico</t>
  </si>
  <si>
    <t>Contractors - Argentina</t>
  </si>
  <si>
    <t>Contractors - India</t>
  </si>
  <si>
    <t>Contractors - Ukraine</t>
  </si>
  <si>
    <t>Leadership</t>
  </si>
  <si>
    <t>Product Mgmt</t>
  </si>
  <si>
    <t>Engineering</t>
  </si>
  <si>
    <t>Practice Management</t>
  </si>
  <si>
    <t>Case Coordination</t>
  </si>
  <si>
    <t>Interfaces</t>
  </si>
  <si>
    <t>eChart/EHR</t>
  </si>
  <si>
    <t>Clariti</t>
  </si>
  <si>
    <t>Patient Engagement</t>
  </si>
  <si>
    <t>HST Pay</t>
  </si>
  <si>
    <t>RCM</t>
  </si>
  <si>
    <t>Dashboards and Data</t>
  </si>
  <si>
    <t>GRC</t>
  </si>
  <si>
    <t>Innovation</t>
  </si>
  <si>
    <t>Other Existing Products</t>
  </si>
  <si>
    <t>Product Based Tech Details</t>
  </si>
  <si>
    <t>Front End Tech</t>
  </si>
  <si>
    <t>Back End</t>
  </si>
  <si>
    <t>Database</t>
  </si>
  <si>
    <t>Code Repo Name</t>
  </si>
  <si>
    <t>Code Size</t>
  </si>
  <si>
    <t>Hosting</t>
  </si>
  <si>
    <t>CC Mobile</t>
  </si>
  <si>
    <t>eChart</t>
  </si>
  <si>
    <t>HST Home</t>
  </si>
  <si>
    <t>Dashboards</t>
  </si>
  <si>
    <t>HST Forecast</t>
  </si>
  <si>
    <t>Datastream</t>
  </si>
  <si>
    <t>Refer to VDR Index #1.8.4.4</t>
  </si>
  <si>
    <t>Refer to VDR Index #1.3.3</t>
  </si>
  <si>
    <t>Global Trade</t>
  </si>
  <si>
    <t xml:space="preserve"> Provide the names and locations of any non-U.S. customers since April 24, 2019. </t>
  </si>
  <si>
    <t>Do the Company’s software developers located outside of the United States develop code on local environments, or do they download code from U.S.-based servers?  </t>
  </si>
  <si>
    <t>Does the Company software use or incorporate any non-standard cryptography? Please describe.</t>
  </si>
  <si>
    <t>Does the Company software support encrypted user-to-user communications (e.g., chats, direct messages, or calls)? If so, please describe the parties that can communicate with each other and any restrictions on such communications (e.g., who can participate and whether the content is free-form or limited to predetermined text selections).</t>
  </si>
  <si>
    <t>Please confirm that IP address traffic from outside the United States and Canada is blocked. If not, please describe how HST restricts such traffic.</t>
  </si>
  <si>
    <t>Are any HST personnel foreign nationals of Cuba, Iran, Syria, or North Korea? If so, please identify the countries, approx. date of employment, and the role of the personnel.</t>
  </si>
  <si>
    <t>Healthcare</t>
  </si>
  <si>
    <t>Please provide reports on calls/emails placed to the Company’s compliance hotline over the past two years, or confirm none.</t>
  </si>
  <si>
    <t>Thank you for providing the penetration testing reports and security policies at 1.8.4 and 1.8.10. Please confirm whether the Company conducts any internal review or audit of its coding platform with respect to coding accuracy. If so, describe the process, frequency, and provide a copy of the most recent review or audit.</t>
  </si>
  <si>
    <t>Confirm our understanding that exclusion screenings are conducted annually for all employees, contractors and vendors through the OIG exclusion list (but not state or GSA lists).</t>
  </si>
  <si>
    <t>Please provide a list of compliance and HIPAA training topics covered in the KnowBe4 training program.</t>
  </si>
  <si>
    <t>Confirm that JLM satisfies all CMS security requirements, including password protections, firewalls, data encryption, access limitation, virus/spyware protection, etc.)</t>
  </si>
  <si>
    <t>Are there any current or past material issues with data submission to CMS, such as data not being uploaded successfully? If so, please explain.</t>
  </si>
  <si>
    <t xml:space="preserve">Besides CMS-approved surveys, does JLM send other communications to patients (e.g., other surveys, guidance on responses, etc.)? If so, please explain the nature of these communications. </t>
  </si>
  <si>
    <t xml:space="preserve">Please identify (i) the CAHPS key personnel (Project Manager, IS Specialist, Programmer/Developer, Call Center Supervisor, Mail Center Supervisor, etc.) and (ii) provide a copy of the training certification for key personnel. If unavailable, please confirm whether all required training is completed as required by CMS. </t>
  </si>
  <si>
    <t>Provide any policies or procedures related to JLM’s CAHPS survey vendor operations (e.g., policies to ensure compliance with reporting requirements, training, security, ensuring that patient information files from customers include the entire eligible patient population and data elements, etc.).</t>
  </si>
  <si>
    <t>Provide a copy of JLM’s most recent Quality Assurance Plan submitted to CMS.</t>
  </si>
  <si>
    <t>Intellectual Property</t>
  </si>
  <si>
    <t>The DDRL indicates certain legacy employees have not executed the Company’s form of Confidentiality and Invention Assignment Agreement.  Have any of these employees created any Company IP and, if so, is any of that IP patentable?</t>
  </si>
  <si>
    <t>Does the Company ever negotiate edits to the IP portions of its standard form of customer agreement?</t>
  </si>
  <si>
    <t>Please provide copies of agreements with Company customers on forms of agreement other than the standard form of Master Software as a Service Agreement.</t>
  </si>
  <si>
    <t>Please provide examples of the Amazon Bedrock outputs that are made available to customers.</t>
  </si>
  <si>
    <t xml:space="preserve">Are the outputs generated by Augment AI and/or Microsoft 365 Co-Pilot incorporated directly into the Company’s products/services?  Or, are these outputs used as inspiration and subject to human review? </t>
  </si>
  <si>
    <t>Did the Company acquire any IP under the Purchase Agreement with JL Morgan Associates?</t>
  </si>
  <si>
    <t>Please provide agreements (or links to online terms) with the agencies that provide the Company with development contractors and/or consultants.</t>
  </si>
  <si>
    <t>Does the Company have any non-standard agreements with third-party vendors for products or services?</t>
  </si>
  <si>
    <t>Labor</t>
  </si>
  <si>
    <t>Please provide job descriptions for each of the following positions:
a.	Customer Support Specialist
b.	Sr. Customer Support Specialist
c.	Advanced Customer Support Specialist
d.	Sales Development Representative 
e.	Associate Account Executive
f.	Account Executive
g.	Sales &amp; Relationship Manager
h.	Application and Resource Specialist
i.	Client Success Manager
j.	Product Implementation Manager
k.	Quality Systems Analyst</t>
  </si>
  <si>
    <t>On the Diligence Call, Management noted that it does not think it currently has any non-exempt employees, but that it had them in the past and will soon have them in connection with the JM transaction call center. Please confirm: (a) if HST does not currently have non-exempt employees, when the last non-exempt employees were employed and in what capacity; and (b) the anticipated number of full-time, non-exempt employees following the JM transaction and the states in which they will be located.</t>
  </si>
  <si>
    <t>We reviewed the “Employee Allegations” spreadsheet in the VDR, which references five (5) current or former employees in connection with various employment-related claims or allegations. For each employee listed in the spreadsheet, please provide relevant documents for each claim (such as demand letters, settlement agreements, etc.)  
a.	With respect to the employee whose role was eliminated in October 2023, please confirm whether that employee brought a formal claim against HST (and if so, on what basis), or whether the settlement agreement was entered into without a formal claim having been filed.</t>
  </si>
  <si>
    <t>Please confirm whether the JM call center employees will be employed by HST Pathways directly or through ADP TotalSource as PEO.</t>
  </si>
  <si>
    <t>On the Diligence Call, Management stated that there is only one (1) current U.S.-based independent contractor, who performs marketing services. However, the independent contractor census reflects two (2) U.S.-based contractors: (i) a contract developer who has been engaged since April 2021 at $128,000 annually, and (ii) a sales/AWS support contractor who has been engaged since August 2024. Please clarify this discrepancy and confirm: (a) whether either or both of these contractors are currently engaged by HST; (b) for any contractor no longer engaged, when the engagement ended; and (c) for any currently engaged contractor, please provide his/her (i) full name, (ii) compensation information, (iii) location (city and state), (iv) dates of engagement, (v) description of services performed, (vi) whether he/she works exclusively or near-exclusively for HST, and (vii) a copy of his/her independent contractor agreement.</t>
  </si>
  <si>
    <t>On the Diligence Call, Management noted that in 2020, HST shut down a patient call center, impacting 11 employees located in New York. Please confirm the date the RIF occurred.</t>
  </si>
  <si>
    <t>The form Confidentiality and Invention Assignment Agreement requires all disputes to be resolved by binding arbitration at the Nashville offices of JAMS. Does HST have a California-specific CIIA? If yes, please provide a copy of the California-specific form.</t>
  </si>
  <si>
    <t xml:space="preserve">The employment application includes OFCCP voluntary self-identification of disability language, stating that HST "is a federal contractor or subcontractor" subject to affirmative action obligations. Please confirm whether the HST is in fact a federal contractor or subcontractor, given Management’s previous answer that it is not a government contractor or subcontractor. </t>
  </si>
  <si>
    <t>On the Diligence Call, Management stated that HST contracts with Jazz HR for a recruiting software. To follow up on that discussion: (1) does the software use artificial intelligence to match a resume to a job description? Or is it that the software allows the user (a person) to search resumes? (2) Please provide a copy of HST’s agreement with Jazz HR.</t>
  </si>
  <si>
    <t>Privacy</t>
  </si>
  <si>
    <t>Please confirm if the Company uses session replay technology on its website or platform.</t>
  </si>
  <si>
    <t>Please provide a copy of the Company’s formal AI governance policy document or direct us to where it is located in the VDR.</t>
  </si>
  <si>
    <t xml:space="preserve">Please provide copies of the Company’s 2024 and 2025 SOC 2 audit reports. </t>
  </si>
  <si>
    <t xml:space="preserve">Please provide a copy of the Company’s most recently completed self-assessment questionnaire to verify PCI-DSS compliance.  </t>
  </si>
  <si>
    <t>Please provide a representative sample of the Company’s marketing emails and newsletters to verify CAN-SPAM Act compliance.</t>
  </si>
  <si>
    <t>Real Property</t>
  </si>
  <si>
    <t>Please provide clarification as to when the Nashville lease expires.</t>
  </si>
  <si>
    <t>Please provide any documentation relating to the partial termination of the sublease by the third-floor subtenant of the Nashville lease.</t>
  </si>
  <si>
    <t>Please provide the Birmingham lease that was recently entered into in March 2026.</t>
  </si>
  <si>
    <t>With respect to the BCTO Ace Holdings, Inc. 2020 Stock Option Plan, please provide all relevant documents, including but not limited to (i) all amendments to the plan document, (ii) all unredacted grant agreements (or confirmation that all grants are made pursuant to the same form of award agreement) and board resolutions approving all grants, (iii) a fully-diluted capitalization table, including grant dates, grantee name, vesting schedule, and type of award, (iv) all Section 409A valuations performed within the past five years, including board consents describing the Company’s determination of the fair market value of the Company’s common stock used in determining the strike prices of options granted, (v) copies of all unredacted 83(b) elections made, and (vi) copies of all shareholder resolutions approving the equity plan and any subsequent amendments.</t>
  </si>
  <si>
    <t>With respect to the RSU award agreement dated July 15, 2021, please confirm (i) whether the RSU award was granted as a substitution for or in replacement to any other compensation and (ii) that the sole settlement event is a Change in Control.</t>
  </si>
  <si>
    <t>With respect to the Healthcare Systems &amp; Technologies, LLC 401(k) Plan, provide (confirmation that corrective measures were taken to correct the failed ADP testing as indicated under the 2023 and 2024 compliance testing results and also provide the test results for ACP, minimum coverage, and top-heavy testing.</t>
  </si>
  <si>
    <t>With respect to the Healthcare Systems &amp; Technologies, LLC 401(k) Plan, based on the 2022 Form 5500, the Company incurred $46,078 in late remittances in connection with its 401(k) plan. Please provide proof that such late remittances were corrected in accordance with the EPCRS, including providing (i) copies of lost earnings calculations, (ii) proof that the delinquent contributions plus lost earnings have been deposited into the 401(k) Plan, (iii) copies of the Form 5330 filings made in connection with such correction.  Additionally, please provide any other steps that were taken to correct the Company’s delinquent contributions.</t>
  </si>
  <si>
    <t>Please confirm whether this transaction is expected to trigger any payments or benefits or acceleration of equity under any arrangement.</t>
  </si>
  <si>
    <t>Please provide the full employment agreement for David Thawley.</t>
  </si>
  <si>
    <t xml:space="preserve">Please provide the April 2024 charter amendment for BCTO Ace Holdings, Inc. </t>
  </si>
  <si>
    <t>Please provide the unaudited 12/31/25 financial statements.</t>
  </si>
  <si>
    <t>Please provide copies of any Stockholder Agreement(s), Voting Agreement(s) and/or Management Agreement(s) or confirmation that none exist.</t>
  </si>
  <si>
    <t>Please confirm Nexxus’ current annual management fee.</t>
  </si>
  <si>
    <t>In the cap table provided, please clarify what the difference is between the "Class B Shares" in Column E vs. the "Class B" in Column F.</t>
  </si>
  <si>
    <t>Please describe how the cap table distinguishes between outstanding versus exercised Options.</t>
  </si>
  <si>
    <t>Please provide detail on Options including current and expected strike prices and vesting terms.</t>
  </si>
  <si>
    <t xml:space="preserve">Please confirm whether RSUs, restricted stock and Options are issued from the same pool authorized under the Option Plan. </t>
  </si>
  <si>
    <t>Please provide unredacted copies of agreements.</t>
  </si>
  <si>
    <t xml:space="preserve">Refer to VDR Index #1.6.4, top 10 unredacted contracts provided. </t>
  </si>
  <si>
    <t>Please update for the following requested fields: (i) if individual is engaged directly by the Company or through a third-party entity or staffing agency, (ii) state for all U.S. contractors, and (iii) expected duration of engagement. Please also provide copies of all written agreements pursuant to which such workers are engaged or confirm their location in the VDR.</t>
  </si>
  <si>
    <r>
      <rPr>
        <u/>
        <sz val="10"/>
        <rFont val="Aptos Narrow"/>
        <family val="2"/>
      </rPr>
      <t xml:space="preserve">Please update for the following requested fields: (i) classification as exempt/nonexempt for wage and hour law purposes, (ii)  full-time/part-time status, (iii) active/inactive status, including whether on a leave of absence and, if applicable, type of leave and expected return date, (iv) whether the employee is paid on an hourly basis or salary basis, and (v) whether the employee is eligible for commissions or non-discretionary bonuses. </t>
    </r>
  </si>
  <si>
    <t>Please provide copies of: (i) summaries of benefits and coverage for each medical plan offered to employees (ii) copies of any notices received in connection with any employer mandate (Section 4980H(a) or 4980H(b) penalties) or any other penalty and (iii) copies of any notices of employees participating in an exchange.</t>
  </si>
  <si>
    <t xml:space="preserve">With respect to each of the health and welfare benefits, please provide: the ERISA “wrap” plan document and agreements with insurers/certificates of coverage, as applicable. </t>
  </si>
  <si>
    <t>Please confirm that all employees enter into the form of offer letter provided in VDR 1.4.5.1 and VDR 1.4.5.2.</t>
  </si>
  <si>
    <t>Please note that the three promissory notes provided under VDR 1.1.6.1 are redacted. Please provide the unredacted versions.</t>
  </si>
  <si>
    <t xml:space="preserve">Refer to VDR Index 1.6.6. </t>
  </si>
  <si>
    <r>
      <t>Provide the names and city locations of the Company’s contractors located in Ukraine.  How are these contractors engaged (</t>
    </r>
    <r>
      <rPr>
        <u/>
        <sz val="10"/>
        <color indexed="12"/>
        <rFont val="Aptos Narrow"/>
        <family val="2"/>
      </rPr>
      <t>e.g., Employer of Record, through a third-party vendor, directly by the Company, etc.)?</t>
    </r>
  </si>
  <si>
    <r>
      <t>Do the following vendors listed in VDR 1.2.3.1 perform technical work (</t>
    </r>
    <r>
      <rPr>
        <u/>
        <sz val="10"/>
        <color indexed="12"/>
        <rFont val="Aptos Narrow"/>
        <family val="2"/>
      </rPr>
      <t>e.g., software development) for the Company: Vendor #3, Vendor #5, Vendor #24, Vendor #27, and Vendor #30? If yes, please provide the name of the vendor and where the vendor is located. </t>
    </r>
  </si>
  <si>
    <t>4 + 1 (contractor in US)</t>
  </si>
  <si>
    <t>CSP and Javascript</t>
  </si>
  <si>
    <t>ObjectScript</t>
  </si>
  <si>
    <t>Intersystems IRIS for Health</t>
  </si>
  <si>
    <t>230K</t>
  </si>
  <si>
    <t>GCP</t>
  </si>
  <si>
    <t>in Clariti</t>
  </si>
  <si>
    <t>React Native</t>
  </si>
  <si>
    <t>Ruby on Rails</t>
  </si>
  <si>
    <t>Postgres</t>
  </si>
  <si>
    <t>cc-mobile</t>
  </si>
  <si>
    <t>113K</t>
  </si>
  <si>
    <t>NextJS, TypeScript</t>
  </si>
  <si>
    <t>caseCoordination</t>
  </si>
  <si>
    <t>774K</t>
  </si>
  <si>
    <t>AWS</t>
  </si>
  <si>
    <t>Vue.js/Knockout.js, TypeScript</t>
  </si>
  <si>
    <t>C#, .Net Framework 4.8</t>
  </si>
  <si>
    <t>SQL Server Standard and Enterprise 2022</t>
  </si>
  <si>
    <t>AWS/CSpire</t>
  </si>
  <si>
    <t>Next.js</t>
  </si>
  <si>
    <t>RoR</t>
  </si>
  <si>
    <t>PostgreSQL</t>
  </si>
  <si>
    <t>home</t>
  </si>
  <si>
    <t>Logi</t>
  </si>
  <si>
    <t>Redshift</t>
  </si>
  <si>
    <t>NextJS</t>
  </si>
  <si>
    <t>C# (.Net 8)</t>
  </si>
  <si>
    <t>patientAccessClient</t>
  </si>
  <si>
    <t>React JS/TypeScript</t>
  </si>
  <si>
    <t>Golang</t>
  </si>
  <si>
    <t>hst-inno-pf</t>
  </si>
  <si>
    <t>Windows Forms</t>
  </si>
  <si>
    <t>PMWinforms</t>
  </si>
  <si>
    <t>Javascript</t>
  </si>
  <si>
    <t>Laraval</t>
  </si>
  <si>
    <t>MySQL</t>
  </si>
  <si>
    <t>legacy-jlm-survey</t>
  </si>
  <si>
    <t>262K</t>
  </si>
  <si>
    <t>Liquid Web</t>
  </si>
  <si>
    <t>See tab. Note this is a snapshot in time, and the team is regularly adjusting who's assigned to which product as priorities shift. Data should  be looked at it as an approximate measurement of resources per product, but not exact and subject to change</t>
  </si>
  <si>
    <t>Refer to VDR Index #1.1.6.3.2</t>
  </si>
  <si>
    <t>Refer to VDR Index #1.4.2.3. Names will not be provided. The contractors are engaged through a 3rd party</t>
  </si>
  <si>
    <t>As discussed on the legal diligence call, all AI outputs are subject to human review</t>
  </si>
  <si>
    <t xml:space="preserve">Provide update AR and AP aging reported for Dec25 that reconcile to the reported balance sheet. 
</t>
  </si>
  <si>
    <t xml:space="preserve">Provide post-close entries for both the income statement and balance sheet for Dec25.
</t>
  </si>
  <si>
    <t>Provide the annual bonus figures for each department on the "Annual bonus" tab that reconciles to the adjusted bonus expense in the PWC report. Acknowledging receipt of FY25 amounts per the census uploaded.
Confirm Q1'26 quarterly bonus payout for the client service and implementation teams (estimated at $186 per PWC report).</t>
  </si>
  <si>
    <t>FY23, FY24</t>
  </si>
  <si>
    <t>($ in 000s)</t>
  </si>
  <si>
    <t>FY23</t>
  </si>
  <si>
    <t>FY24</t>
  </si>
  <si>
    <t>FY25</t>
  </si>
  <si>
    <t>Client services</t>
  </si>
  <si>
    <t>&lt;&lt;&lt; Amounts were derived from "1.4.2.8 HORIZON - Employee Census (01.2023-03.2026)_Additional Detail"</t>
  </si>
  <si>
    <t>Professional services</t>
  </si>
  <si>
    <t>S&amp;M</t>
  </si>
  <si>
    <t>G&amp;A</t>
  </si>
  <si>
    <t>Reconciling item</t>
  </si>
  <si>
    <t>Total bonus</t>
  </si>
  <si>
    <t>Adjusted bonus per PWC report</t>
  </si>
  <si>
    <t>Difference</t>
  </si>
  <si>
    <t>1.3.3.</t>
  </si>
  <si>
    <t>IT - Management Follow-Ups</t>
  </si>
  <si>
    <t>Verify where vendor ADP maps to within the provided FDD report</t>
  </si>
  <si>
    <t>Refer to VDR Index #1.1.6.1
We will not provide unredacted versions.</t>
  </si>
  <si>
    <t>Refer to VDR Index #1.3.3
Additional documents added</t>
  </si>
  <si>
    <t>It has been provided what software system the upsell center migrated from.  It has also been provided if the center is a denovo or not a denovo.  The company does not track if the upsell center was an M&amp;A center or a competitive knock out</t>
  </si>
  <si>
    <t>Refer to VDR Index #1.3.2.5</t>
  </si>
  <si>
    <t>1.3.2.5</t>
  </si>
  <si>
    <t>"New Business" refers to opportunities associated with new centers not yet on HST and excludes upsell activity. For clarity, a limited number of upsell AmSurg centers have historically been categorized as "New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</si>
</sst>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41" formatCode="_(* #,##0_);_(* \(#,##0\);_(* &quot;-&quot;_);_(@_)"/>
    <numFmt numFmtId="44" formatCode="_(&quot;$&quot;* #,##0.00_);_(&quot;$&quot;* \(#,##0.00\);_(&quot;$&quot;* &quot;-&quot;??_);_(@_)"/>
    <numFmt numFmtId="43" formatCode="_(* #,##0.00_);_(* \(#,##0.00\);_(* &quot;-&quot;??_);_(@_)"/>
    <numFmt numFmtId="164" formatCode="mmmm\ yyyy"/>
    <numFmt numFmtId="165" formatCode="0%_);\(0%\);0%_);@_)"/>
    <numFmt numFmtId="166" formatCode="mm/dd/yy;@"/>
    <numFmt numFmtId="167" formatCode="&quot;$&quot;#,##0"/>
    <numFmt numFmtId="168" formatCode="&quot;$&quot;#,##0.00"/>
    <numFmt numFmtId="169" formatCode="00000"/>
    <numFmt numFmtId="170" formatCode="_(&quot;$&quot;* #,##0_);_(&quot;$&quot;* \(#,##0\);_(&quot;$&quot;* &quot;-&quot;??_);_(@_)"/>
    <numFmt numFmtId="171" formatCode="_(* #,##0_);_(* \(#,##0\);_(* &quot;-&quot;??_);_(@_)"/>
    <numFmt numFmtId="172" formatCode="&quot;$&quot;#,##0.0_);\(&quot;$&quot;#,##0.0\)"/>
    <numFmt numFmtId="173" formatCode="#,##0.0_);\(#,##0.0\)"/>
    <numFmt numFmtId="175" formatCode="[$-409]mmm\-yy;@"/>
    <numFmt numFmtId="176" formatCode="_(* #,##0_);_(* \(#,##0\);_(* &quot; - &quot;_);_(* @_)"/>
  </numFmts>
  <fonts count="81">
    <font>
      <sz val="11"/>
      <color theme="1"/>
      <name val="Cambria"/>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theme="1"/>
      <name val="Arial"/>
      <family val="2"/>
    </font>
    <font>
      <sz val="10"/>
      <color theme="1"/>
      <name val="Cambria"/>
      <family val="1"/>
    </font>
    <font>
      <b/>
      <sz val="26"/>
      <color theme="4"/>
      <name val="Cambria"/>
      <family val="1"/>
    </font>
    <font>
      <sz val="10"/>
      <name val="Arial"/>
      <family val="2"/>
    </font>
    <font>
      <sz val="10"/>
      <color rgb="FFFF0000"/>
      <name val="Arial"/>
      <family val="2"/>
    </font>
    <font>
      <sz val="10"/>
      <color theme="1"/>
      <name val="Avenir Next LT Pro"/>
      <family val="2"/>
    </font>
    <font>
      <sz val="10"/>
      <name val="Aptos Narrow"/>
      <family val="2"/>
      <scheme val="minor"/>
    </font>
    <font>
      <b/>
      <sz val="10"/>
      <color rgb="FF004165"/>
      <name val="Aptos Narrow"/>
      <family val="2"/>
      <scheme val="minor"/>
    </font>
    <font>
      <b/>
      <sz val="10"/>
      <name val="Aptos Narrow"/>
      <family val="2"/>
      <scheme val="minor"/>
    </font>
    <font>
      <b/>
      <i/>
      <sz val="10"/>
      <name val="Aptos Narrow"/>
      <family val="2"/>
      <scheme val="minor"/>
    </font>
    <font>
      <sz val="10"/>
      <color theme="1"/>
      <name val="Aptos Narrow"/>
      <family val="2"/>
      <scheme val="minor"/>
    </font>
    <font>
      <b/>
      <sz val="10"/>
      <color theme="4"/>
      <name val="Aptos Narrow"/>
      <family val="2"/>
      <scheme val="minor"/>
    </font>
    <font>
      <i/>
      <sz val="10"/>
      <name val="Aptos Narrow"/>
      <family val="2"/>
      <scheme val="minor"/>
    </font>
    <font>
      <i/>
      <sz val="10"/>
      <color rgb="FF393939"/>
      <name val="Aptos Narrow"/>
      <family val="2"/>
      <scheme val="minor"/>
    </font>
    <font>
      <sz val="10"/>
      <color rgb="FF000000"/>
      <name val="Aptos Narrow"/>
      <family val="2"/>
      <scheme val="minor"/>
    </font>
    <font>
      <sz val="10"/>
      <color rgb="FFFF0000"/>
      <name val="Aptos Narrow"/>
      <family val="2"/>
      <scheme val="minor"/>
    </font>
    <font>
      <sz val="10"/>
      <color theme="1"/>
      <name val="Calibri"/>
      <family val="2"/>
    </font>
    <font>
      <b/>
      <sz val="10"/>
      <color theme="0"/>
      <name val="Calibri"/>
      <family val="2"/>
    </font>
    <font>
      <sz val="9"/>
      <color rgb="FF000000"/>
      <name val="Calibri"/>
      <family val="2"/>
    </font>
    <font>
      <sz val="10"/>
      <color rgb="FFFF0000"/>
      <name val="Aptos Display"/>
      <family val="2"/>
      <scheme val="major"/>
    </font>
    <font>
      <sz val="10"/>
      <color rgb="FFFF0000"/>
      <name val="Cambria"/>
      <family val="1"/>
    </font>
    <font>
      <sz val="8"/>
      <color theme="1"/>
      <name val="Segoe UI"/>
      <family val="2"/>
    </font>
    <font>
      <b/>
      <sz val="9"/>
      <color theme="4"/>
      <name val="Aptos Narrow"/>
      <family val="2"/>
      <scheme val="minor"/>
    </font>
    <font>
      <b/>
      <sz val="9"/>
      <color theme="0"/>
      <name val="Aptos Narrow"/>
      <family val="2"/>
      <scheme val="minor"/>
    </font>
    <font>
      <sz val="9"/>
      <color theme="0"/>
      <name val="Aptos Narrow"/>
      <family val="2"/>
      <scheme val="minor"/>
    </font>
    <font>
      <i/>
      <sz val="20"/>
      <name val="Aptos Display"/>
      <family val="1"/>
      <scheme val="major"/>
    </font>
    <font>
      <b/>
      <sz val="8"/>
      <color theme="1"/>
      <name val="Segoe UI"/>
      <family val="2"/>
    </font>
    <font>
      <sz val="8"/>
      <name val="Segoe UI"/>
      <family val="2"/>
    </font>
    <font>
      <sz val="10"/>
      <color indexed="8"/>
      <name val="Arial"/>
      <family val="2"/>
    </font>
    <font>
      <sz val="10"/>
      <color indexed="8"/>
      <name val="Segoe UI"/>
      <family val="2"/>
    </font>
    <font>
      <sz val="10"/>
      <name val="Segoe UI"/>
      <family val="2"/>
    </font>
    <font>
      <sz val="11"/>
      <color theme="1"/>
      <name val="Aptos Narrow"/>
      <family val="2"/>
      <scheme val="minor"/>
    </font>
    <font>
      <b/>
      <u/>
      <sz val="11"/>
      <color theme="1"/>
      <name val="Novo Apply Sans"/>
    </font>
    <font>
      <sz val="11"/>
      <color theme="1"/>
      <name val="Novo Apply Sans"/>
    </font>
    <font>
      <b/>
      <sz val="11"/>
      <color theme="0"/>
      <name val="Novo Apply Sans"/>
    </font>
    <font>
      <sz val="11"/>
      <color rgb="FF0000FF"/>
      <name val="Novo Apply Sans"/>
    </font>
    <font>
      <b/>
      <sz val="11"/>
      <color theme="1"/>
      <name val="Novo Apply Sans"/>
    </font>
    <font>
      <b/>
      <sz val="11"/>
      <color rgb="FF0000FF"/>
      <name val="Novo Apply Sans"/>
    </font>
    <font>
      <b/>
      <sz val="16"/>
      <name val="Aptos Narrow"/>
      <family val="2"/>
      <scheme val="minor"/>
    </font>
    <font>
      <sz val="9"/>
      <color theme="1"/>
      <name val="Arial"/>
      <family val="2"/>
    </font>
    <font>
      <b/>
      <sz val="14"/>
      <color theme="1"/>
      <name val="Arial"/>
      <family val="2"/>
    </font>
    <font>
      <b/>
      <sz val="10"/>
      <color theme="0"/>
      <name val="Aptos Narrow"/>
      <family val="2"/>
      <scheme val="minor"/>
    </font>
    <font>
      <sz val="9"/>
      <name val="Arial"/>
      <family val="2"/>
    </font>
    <font>
      <b/>
      <sz val="9"/>
      <name val="Arial"/>
      <family val="2"/>
    </font>
    <font>
      <sz val="11"/>
      <color theme="1"/>
      <name val="Arial"/>
      <family val="2"/>
    </font>
    <font>
      <b/>
      <sz val="9"/>
      <color theme="1"/>
      <name val="Arial"/>
      <family val="2"/>
    </font>
    <font>
      <b/>
      <sz val="9"/>
      <color theme="0"/>
      <name val="Arial"/>
      <family val="2"/>
    </font>
    <font>
      <sz val="10"/>
      <color theme="1"/>
      <name val="Times New Roman"/>
      <family val="1"/>
    </font>
    <font>
      <sz val="10"/>
      <color rgb="FF000000"/>
      <name val="Times New Roman"/>
      <family val="1"/>
    </font>
    <font>
      <i/>
      <sz val="10"/>
      <color theme="1"/>
      <name val="Times New Roman"/>
      <family val="1"/>
    </font>
    <font>
      <vertAlign val="superscript"/>
      <sz val="10"/>
      <color theme="1"/>
      <name val="Times New Roman"/>
      <family val="1"/>
    </font>
    <font>
      <b/>
      <sz val="9"/>
      <name val="Aptos Narrow"/>
      <family val="2"/>
      <scheme val="minor"/>
    </font>
    <font>
      <sz val="9"/>
      <name val="Aptos Narrow"/>
      <family val="2"/>
      <scheme val="minor"/>
    </font>
    <font>
      <i/>
      <sz val="9"/>
      <name val="Aptos Narrow"/>
      <family val="2"/>
      <scheme val="minor"/>
    </font>
    <font>
      <sz val="11"/>
      <name val="Aptos Narrow"/>
      <family val="2"/>
      <scheme val="minor"/>
    </font>
    <font>
      <sz val="11"/>
      <color theme="1"/>
      <name val="Cambria"/>
      <family val="2"/>
    </font>
    <font>
      <sz val="12"/>
      <color theme="1"/>
      <name val="Aptos Narrow"/>
      <family val="2"/>
      <scheme val="minor"/>
    </font>
    <font>
      <b/>
      <sz val="10"/>
      <color rgb="FFFF0000"/>
      <name val="Arial"/>
      <family val="2"/>
    </font>
    <font>
      <u/>
      <sz val="10"/>
      <color indexed="12"/>
      <name val="Aptos Narrow"/>
      <family val="2"/>
    </font>
    <font>
      <sz val="10"/>
      <color theme="1"/>
      <name val="Aptos Narrow"/>
      <family val="2"/>
      <scheme val="minor"/>
    </font>
    <font>
      <sz val="10"/>
      <name val="Aptos Narrow"/>
      <family val="2"/>
      <scheme val="minor"/>
    </font>
    <font>
      <sz val="10"/>
      <color rgb="FF000000"/>
      <name val="Aptos Narrow"/>
      <family val="2"/>
      <scheme val="minor"/>
    </font>
    <font>
      <sz val="10"/>
      <color rgb="FFFF0000"/>
      <name val="Aptos Display"/>
      <family val="2"/>
      <scheme val="major"/>
    </font>
    <font>
      <sz val="10"/>
      <color theme="1"/>
      <name val="Arial"/>
      <family val="2"/>
    </font>
    <font>
      <u/>
      <sz val="10"/>
      <name val="Aptos Narrow"/>
      <family val="2"/>
    </font>
    <font>
      <sz val="9"/>
      <color theme="1"/>
      <name val="Arial"/>
      <family val="2"/>
    </font>
    <font>
      <b/>
      <sz val="9"/>
      <color theme="0"/>
      <name val="Arial"/>
      <family val="2"/>
    </font>
    <font>
      <sz val="9"/>
      <name val="Arial"/>
      <family val="2"/>
    </font>
    <font>
      <b/>
      <i/>
      <sz val="9"/>
      <color theme="0"/>
      <name val="Arial"/>
      <family val="2"/>
    </font>
    <font>
      <i/>
      <sz val="9"/>
      <color theme="0"/>
      <name val="Arial"/>
      <family val="2"/>
    </font>
    <font>
      <b/>
      <sz val="10"/>
      <color rgb="FF5E8AB4"/>
      <name val="Arial"/>
      <family val="2"/>
    </font>
    <font>
      <i/>
      <sz val="10"/>
      <color rgb="FFFF0000"/>
      <name val="Arial"/>
      <family val="2"/>
    </font>
    <font>
      <b/>
      <sz val="10"/>
      <color theme="1"/>
      <name val="Arial"/>
      <family val="2"/>
    </font>
  </fonts>
  <fills count="12">
    <fill>
      <patternFill patternType="none"/>
    </fill>
    <fill>
      <patternFill patternType="gray125"/>
    </fill>
    <fill>
      <patternFill patternType="solid">
        <fgColor theme="5" tint="0.79998168889431442"/>
        <bgColor indexed="64"/>
      </patternFill>
    </fill>
    <fill>
      <patternFill patternType="solid">
        <fgColor rgb="FF3988C6"/>
        <bgColor indexed="64"/>
      </patternFill>
    </fill>
    <fill>
      <patternFill patternType="solid">
        <fgColor theme="3" tint="0.79998168889431442"/>
        <bgColor indexed="64"/>
      </patternFill>
    </fill>
    <fill>
      <patternFill patternType="solid">
        <fgColor theme="1"/>
        <bgColor indexed="64"/>
      </patternFill>
    </fill>
    <fill>
      <patternFill patternType="solid">
        <fgColor theme="7" tint="0.79998168889431442"/>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DCE6F2"/>
        <bgColor indexed="64"/>
      </patternFill>
    </fill>
  </fills>
  <borders count="61">
    <border>
      <left/>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auto="1"/>
      </top>
      <bottom style="thin">
        <color theme="6"/>
      </bottom>
      <diagonal/>
    </border>
    <border>
      <left/>
      <right/>
      <top style="thin">
        <color theme="6"/>
      </top>
      <bottom style="thin">
        <color theme="6"/>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theme="0"/>
      </left>
      <right style="medium">
        <color theme="0"/>
      </right>
      <top/>
      <bottom/>
      <diagonal/>
    </border>
    <border>
      <left/>
      <right/>
      <top/>
      <bottom style="thin">
        <color theme="3" tint="0.39994506668294322"/>
      </bottom>
      <diagonal/>
    </border>
    <border>
      <left style="thin">
        <color theme="3" tint="0.39988402966399123"/>
      </left>
      <right/>
      <top style="thin">
        <color theme="3" tint="0.39991454817346722"/>
      </top>
      <bottom style="thin">
        <color theme="3" tint="0.39994506668294322"/>
      </bottom>
      <diagonal/>
    </border>
    <border>
      <left style="thin">
        <color theme="7"/>
      </left>
      <right style="thin">
        <color theme="7"/>
      </right>
      <top style="thin">
        <color theme="7"/>
      </top>
      <bottom style="thin">
        <color theme="7"/>
      </bottom>
      <diagonal/>
    </border>
    <border>
      <left/>
      <right style="thin">
        <color theme="7"/>
      </right>
      <top style="thin">
        <color theme="7"/>
      </top>
      <bottom style="thin">
        <color theme="7"/>
      </bottom>
      <diagonal/>
    </border>
    <border>
      <left style="thin">
        <color theme="7"/>
      </left>
      <right style="thick">
        <color indexed="64"/>
      </right>
      <top style="thin">
        <color theme="7"/>
      </top>
      <bottom style="thin">
        <color theme="7"/>
      </bottom>
      <diagonal/>
    </border>
    <border>
      <left style="thin">
        <color theme="7"/>
      </left>
      <right style="thick">
        <color indexed="64"/>
      </right>
      <top style="thin">
        <color theme="7"/>
      </top>
      <bottom style="thick">
        <color indexed="64"/>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style="thin">
        <color theme="3" tint="0.39991454817346722"/>
      </right>
      <top/>
      <bottom style="thin">
        <color theme="3" tint="0.39991454817346722"/>
      </bottom>
      <diagonal/>
    </border>
    <border>
      <left style="thin">
        <color theme="7"/>
      </left>
      <right style="thick">
        <color indexed="64"/>
      </right>
      <top/>
      <bottom style="thin">
        <color theme="7"/>
      </bottom>
      <diagonal/>
    </border>
    <border>
      <left/>
      <right style="thin">
        <color theme="3" tint="0.39991454817346722"/>
      </right>
      <top/>
      <bottom style="thick">
        <color indexed="64"/>
      </bottom>
      <diagonal/>
    </border>
    <border>
      <left/>
      <right style="thick">
        <color indexed="64"/>
      </right>
      <top/>
      <bottom/>
      <diagonal/>
    </border>
    <border>
      <left/>
      <right/>
      <top style="thin">
        <color theme="3" tint="0.39994506668294322"/>
      </top>
      <bottom style="thin">
        <color theme="3" tint="0.39991454817346722"/>
      </bottom>
      <diagonal/>
    </border>
    <border>
      <left style="thin">
        <color theme="7"/>
      </left>
      <right style="thin">
        <color theme="7"/>
      </right>
      <top/>
      <bottom style="thin">
        <color theme="7"/>
      </bottom>
      <diagonal/>
    </border>
    <border>
      <left/>
      <right/>
      <top style="thin">
        <color theme="7"/>
      </top>
      <bottom style="thin">
        <color theme="7"/>
      </bottom>
      <diagonal/>
    </border>
    <border>
      <left style="thin">
        <color theme="7"/>
      </left>
      <right/>
      <top style="thin">
        <color theme="7"/>
      </top>
      <bottom style="thin">
        <color theme="7"/>
      </bottom>
      <diagonal/>
    </border>
    <border>
      <left style="thin">
        <color theme="7"/>
      </left>
      <right/>
      <top/>
      <bottom style="thin">
        <color theme="3" tint="0.39994506668294322"/>
      </bottom>
      <diagonal/>
    </border>
    <border>
      <left/>
      <right style="thin">
        <color theme="7"/>
      </right>
      <top/>
      <bottom style="thin">
        <color theme="7"/>
      </bottom>
      <diagonal/>
    </border>
    <border>
      <left/>
      <right/>
      <top/>
      <bottom style="thin">
        <color theme="7"/>
      </bottom>
      <diagonal/>
    </border>
    <border>
      <left style="thin">
        <color theme="7"/>
      </left>
      <right/>
      <top/>
      <bottom style="thin">
        <color theme="7"/>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thin">
        <color rgb="FF00000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theme="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theme="6"/>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rgb="FF5E8AB4"/>
      </bottom>
      <diagonal/>
    </border>
    <border>
      <left/>
      <right/>
      <top style="thin">
        <color auto="1"/>
      </top>
      <bottom style="medium">
        <color indexed="64"/>
      </bottom>
      <diagonal/>
    </border>
  </borders>
  <cellStyleXfs count="51">
    <xf numFmtId="0" fontId="0" fillId="0" borderId="0"/>
    <xf numFmtId="0" fontId="7" fillId="0" borderId="0"/>
    <xf numFmtId="0" fontId="8" fillId="0" borderId="0"/>
    <xf numFmtId="0" fontId="11" fillId="0" borderId="0"/>
    <xf numFmtId="0" fontId="11" fillId="0" borderId="0"/>
    <xf numFmtId="0" fontId="11" fillId="0" borderId="0"/>
    <xf numFmtId="0" fontId="13" fillId="0" borderId="0"/>
    <xf numFmtId="0" fontId="7" fillId="0" borderId="0"/>
    <xf numFmtId="9" fontId="7" fillId="0" borderId="0" applyFont="0" applyFill="0" applyBorder="0" applyAlignment="0" applyProtection="0"/>
    <xf numFmtId="0" fontId="24" fillId="0" borderId="0"/>
    <xf numFmtId="0" fontId="25" fillId="3" borderId="8" applyNumberFormat="0">
      <alignment horizontal="centerContinuous" vertical="center" wrapText="1"/>
    </xf>
    <xf numFmtId="0" fontId="26" fillId="0" borderId="0"/>
    <xf numFmtId="0" fontId="6" fillId="0" borderId="0"/>
    <xf numFmtId="9" fontId="6" fillId="0" borderId="0" applyFont="0" applyFill="0" applyBorder="0" applyAlignment="0" applyProtection="0"/>
    <xf numFmtId="0" fontId="29" fillId="0" borderId="0"/>
    <xf numFmtId="0" fontId="29" fillId="0" borderId="9" applyNumberFormat="0" applyFont="0" applyFill="0" applyAlignment="0"/>
    <xf numFmtId="0" fontId="30" fillId="4" borderId="10">
      <alignment horizontal="left" vertical="center" wrapText="1"/>
    </xf>
    <xf numFmtId="0" fontId="31" fillId="5" borderId="0" applyNumberFormat="0">
      <alignment horizontal="center" vertical="center" wrapText="1"/>
    </xf>
    <xf numFmtId="0" fontId="33" fillId="0" borderId="0">
      <alignment horizontal="left" vertical="center"/>
    </xf>
    <xf numFmtId="0" fontId="35" fillId="6" borderId="11" applyNumberFormat="0" applyProtection="0">
      <alignment horizontal="center" vertical="center"/>
    </xf>
    <xf numFmtId="44" fontId="36" fillId="0" borderId="0" applyFont="0" applyFill="0" applyBorder="0" applyAlignment="0" applyProtection="0">
      <alignment vertical="top"/>
    </xf>
    <xf numFmtId="43" fontId="36" fillId="0" borderId="0" applyFont="0" applyFill="0" applyBorder="0" applyAlignment="0" applyProtection="0">
      <alignment vertical="top"/>
    </xf>
    <xf numFmtId="0" fontId="5" fillId="0" borderId="0"/>
    <xf numFmtId="9" fontId="5" fillId="0" borderId="0" applyFont="0" applyFill="0" applyBorder="0" applyAlignment="0" applyProtection="0"/>
    <xf numFmtId="0" fontId="4" fillId="0" borderId="0"/>
    <xf numFmtId="0" fontId="24" fillId="0" borderId="0"/>
    <xf numFmtId="0" fontId="4" fillId="0" borderId="0"/>
    <xf numFmtId="0" fontId="3" fillId="0" borderId="0"/>
    <xf numFmtId="0" fontId="13" fillId="0" borderId="0"/>
    <xf numFmtId="0" fontId="11" fillId="0" borderId="0"/>
    <xf numFmtId="0" fontId="63" fillId="0" borderId="0"/>
    <xf numFmtId="0" fontId="2" fillId="0" borderId="0"/>
    <xf numFmtId="0" fontId="64" fillId="0" borderId="0"/>
    <xf numFmtId="0" fontId="2" fillId="0" borderId="0"/>
    <xf numFmtId="9" fontId="2" fillId="0" borderId="0" applyFont="0" applyFill="0" applyBorder="0" applyAlignment="0" applyProtection="0"/>
    <xf numFmtId="0" fontId="8"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300">
    <xf numFmtId="0" fontId="0" fillId="0" borderId="0" xfId="0"/>
    <xf numFmtId="0" fontId="7" fillId="0" borderId="0" xfId="1"/>
    <xf numFmtId="0" fontId="9" fillId="0" borderId="0" xfId="2" applyFont="1"/>
    <xf numFmtId="0" fontId="9" fillId="0" borderId="0" xfId="2" applyFont="1" applyAlignment="1">
      <alignment wrapText="1"/>
    </xf>
    <xf numFmtId="0" fontId="10" fillId="0" borderId="0" xfId="2" applyFont="1" applyAlignment="1">
      <alignment horizontal="center"/>
    </xf>
    <xf numFmtId="164" fontId="9" fillId="0" borderId="0" xfId="2" applyNumberFormat="1" applyFont="1" applyAlignment="1">
      <alignment wrapText="1"/>
    </xf>
    <xf numFmtId="0" fontId="15" fillId="0" borderId="1" xfId="3" applyFont="1" applyBorder="1" applyAlignment="1">
      <alignment horizontal="left"/>
    </xf>
    <xf numFmtId="0" fontId="14" fillId="0" borderId="0" xfId="3" applyFont="1"/>
    <xf numFmtId="0" fontId="14" fillId="0" borderId="0" xfId="3" applyFont="1" applyAlignment="1">
      <alignment wrapText="1"/>
    </xf>
    <xf numFmtId="0" fontId="16" fillId="0" borderId="2" xfId="3" applyFont="1" applyBorder="1" applyAlignment="1">
      <alignment horizontal="left" wrapText="1"/>
    </xf>
    <xf numFmtId="0" fontId="16" fillId="0" borderId="2" xfId="3" applyFont="1" applyBorder="1" applyAlignment="1">
      <alignment horizontal="center"/>
    </xf>
    <xf numFmtId="0" fontId="17" fillId="0" borderId="2" xfId="3" applyFont="1" applyBorder="1" applyAlignment="1">
      <alignment horizontal="center"/>
    </xf>
    <xf numFmtId="0" fontId="14" fillId="0" borderId="0" xfId="3" applyFont="1" applyAlignment="1">
      <alignment horizontal="center"/>
    </xf>
    <xf numFmtId="0" fontId="18" fillId="0" borderId="0" xfId="0" applyFont="1"/>
    <xf numFmtId="0" fontId="16" fillId="0" borderId="0" xfId="3" applyFont="1" applyAlignment="1">
      <alignment horizontal="left"/>
    </xf>
    <xf numFmtId="0" fontId="16" fillId="0" borderId="0" xfId="3" applyFont="1" applyAlignment="1">
      <alignment horizontal="left" wrapText="1"/>
    </xf>
    <xf numFmtId="0" fontId="14" fillId="0" borderId="2" xfId="4" applyFont="1" applyBorder="1" applyAlignment="1">
      <alignment horizontal="left" vertical="center" wrapText="1"/>
    </xf>
    <xf numFmtId="0" fontId="14" fillId="0" borderId="2" xfId="5" applyFont="1" applyBorder="1" applyAlignment="1">
      <alignment horizontal="center" vertical="center"/>
    </xf>
    <xf numFmtId="165" fontId="20" fillId="0" borderId="2" xfId="5" applyNumberFormat="1" applyFont="1" applyBorder="1" applyAlignment="1">
      <alignment horizontal="center" vertical="center"/>
    </xf>
    <xf numFmtId="0" fontId="21" fillId="0" borderId="0" xfId="3" applyFont="1" applyAlignment="1">
      <alignment horizontal="left"/>
    </xf>
    <xf numFmtId="0" fontId="21" fillId="0" borderId="0" xfId="3" applyFont="1"/>
    <xf numFmtId="0" fontId="21" fillId="0" borderId="0" xfId="3" applyFont="1" applyAlignment="1">
      <alignment wrapText="1"/>
    </xf>
    <xf numFmtId="0" fontId="21" fillId="0" borderId="0" xfId="3" applyFont="1" applyAlignment="1">
      <alignment horizontal="center"/>
    </xf>
    <xf numFmtId="0" fontId="16" fillId="0" borderId="2" xfId="5" applyFont="1" applyBorder="1" applyAlignment="1">
      <alignment horizontal="center" vertical="center"/>
    </xf>
    <xf numFmtId="165" fontId="17" fillId="0" borderId="2" xfId="5" applyNumberFormat="1" applyFont="1" applyBorder="1" applyAlignment="1">
      <alignment horizontal="center" vertical="center"/>
    </xf>
    <xf numFmtId="0" fontId="16" fillId="0" borderId="3" xfId="3" applyFont="1" applyBorder="1" applyAlignment="1">
      <alignment horizontal="left"/>
    </xf>
    <xf numFmtId="0" fontId="16" fillId="0" borderId="3" xfId="3" applyFont="1" applyBorder="1" applyAlignment="1">
      <alignment horizontal="left" wrapText="1"/>
    </xf>
    <xf numFmtId="0" fontId="22" fillId="0" borderId="4" xfId="3" applyFont="1" applyBorder="1" applyAlignment="1">
      <alignment horizontal="left" vertical="top"/>
    </xf>
    <xf numFmtId="0" fontId="22" fillId="0" borderId="4" xfId="3" applyFont="1" applyBorder="1" applyAlignment="1">
      <alignment horizontal="left" vertical="top" wrapText="1"/>
    </xf>
    <xf numFmtId="0" fontId="22" fillId="0" borderId="4" xfId="3" quotePrefix="1" applyFont="1" applyBorder="1" applyAlignment="1">
      <alignment horizontal="left" vertical="top" wrapText="1"/>
    </xf>
    <xf numFmtId="0" fontId="14" fillId="0" borderId="7" xfId="6" applyFont="1" applyBorder="1" applyAlignment="1">
      <alignment vertical="top" wrapText="1"/>
    </xf>
    <xf numFmtId="166" fontId="8" fillId="0" borderId="2" xfId="0" applyNumberFormat="1" applyFont="1" applyBorder="1" applyAlignment="1">
      <alignment horizontal="center" vertical="center" wrapText="1"/>
    </xf>
    <xf numFmtId="0" fontId="23" fillId="0" borderId="4" xfId="3" applyFont="1" applyBorder="1" applyAlignment="1">
      <alignment horizontal="left" vertical="top" wrapText="1"/>
    </xf>
    <xf numFmtId="0" fontId="18" fillId="0" borderId="0" xfId="0" applyFont="1" applyAlignment="1">
      <alignment horizontal="left"/>
    </xf>
    <xf numFmtId="0" fontId="14" fillId="0" borderId="0" xfId="3" applyFont="1" applyAlignment="1">
      <alignment horizontal="left"/>
    </xf>
    <xf numFmtId="0" fontId="19" fillId="0" borderId="0" xfId="3" applyFont="1" applyAlignment="1">
      <alignment horizontal="left"/>
    </xf>
    <xf numFmtId="14" fontId="22" fillId="0" borderId="4" xfId="3" applyNumberFormat="1" applyFont="1" applyBorder="1" applyAlignment="1">
      <alignment horizontal="left" vertical="center"/>
    </xf>
    <xf numFmtId="0" fontId="18" fillId="0" borderId="6" xfId="6" applyFont="1" applyBorder="1" applyAlignment="1">
      <alignment horizontal="left" vertical="center" wrapText="1"/>
    </xf>
    <xf numFmtId="166" fontId="18" fillId="0" borderId="2" xfId="6" applyNumberFormat="1" applyFont="1" applyBorder="1" applyAlignment="1">
      <alignment horizontal="left" vertical="center" wrapText="1"/>
    </xf>
    <xf numFmtId="166" fontId="12" fillId="0" borderId="2" xfId="0" applyNumberFormat="1" applyFont="1" applyBorder="1" applyAlignment="1">
      <alignment horizontal="center" vertical="center" wrapText="1"/>
    </xf>
    <xf numFmtId="166" fontId="27" fillId="0" borderId="2" xfId="0" applyNumberFormat="1" applyFont="1" applyBorder="1" applyAlignment="1">
      <alignment horizontal="left" vertical="top" wrapText="1"/>
    </xf>
    <xf numFmtId="0" fontId="28" fillId="0" borderId="0" xfId="2" applyFont="1" applyAlignment="1">
      <alignment wrapText="1"/>
    </xf>
    <xf numFmtId="166" fontId="8" fillId="0" borderId="2" xfId="0" quotePrefix="1" applyNumberFormat="1" applyFont="1" applyBorder="1" applyAlignment="1">
      <alignment horizontal="center" vertical="center" wrapText="1"/>
    </xf>
    <xf numFmtId="41" fontId="16" fillId="0" borderId="0" xfId="3" applyNumberFormat="1" applyFont="1" applyAlignment="1">
      <alignment horizontal="center"/>
    </xf>
    <xf numFmtId="166" fontId="27" fillId="0" borderId="2" xfId="0" applyNumberFormat="1" applyFont="1" applyBorder="1" applyAlignment="1">
      <alignment horizontal="left" vertical="center" wrapText="1"/>
    </xf>
    <xf numFmtId="0" fontId="22" fillId="0" borderId="4" xfId="3" applyFont="1" applyBorder="1" applyAlignment="1">
      <alignment horizontal="left" vertical="center"/>
    </xf>
    <xf numFmtId="0" fontId="14" fillId="0" borderId="5" xfId="3" applyFont="1" applyBorder="1" applyAlignment="1">
      <alignment horizontal="left" vertical="center"/>
    </xf>
    <xf numFmtId="0" fontId="0" fillId="0" borderId="25" xfId="15" applyFont="1" applyBorder="1" applyAlignment="1"/>
    <xf numFmtId="0" fontId="0" fillId="0" borderId="9" xfId="15" applyFont="1" applyAlignment="1"/>
    <xf numFmtId="0" fontId="0" fillId="0" borderId="9" xfId="15" applyFont="1" applyFill="1" applyAlignment="1"/>
    <xf numFmtId="0" fontId="29" fillId="0" borderId="0" xfId="14"/>
    <xf numFmtId="0" fontId="29" fillId="0" borderId="0" xfId="14" applyAlignment="1">
      <alignment horizontal="center" wrapText="1"/>
    </xf>
    <xf numFmtId="0" fontId="29" fillId="0" borderId="0" xfId="14" applyAlignment="1">
      <alignment horizontal="center"/>
    </xf>
    <xf numFmtId="0" fontId="32" fillId="5" borderId="0" xfId="17" applyFont="1">
      <alignment horizontal="center" vertical="center" wrapText="1"/>
    </xf>
    <xf numFmtId="0" fontId="29" fillId="0" borderId="0" xfId="14" applyAlignment="1">
      <alignment wrapText="1"/>
    </xf>
    <xf numFmtId="0" fontId="33" fillId="0" borderId="0" xfId="18" applyAlignment="1">
      <alignment vertical="center"/>
    </xf>
    <xf numFmtId="0" fontId="33" fillId="0" borderId="0" xfId="18" applyAlignment="1">
      <alignment vertical="center" wrapText="1"/>
    </xf>
    <xf numFmtId="0" fontId="33" fillId="0" borderId="0" xfId="18" applyAlignment="1">
      <alignment horizontal="center" vertical="center"/>
    </xf>
    <xf numFmtId="0" fontId="33" fillId="0" borderId="0" xfId="18" applyAlignment="1">
      <alignment horizontal="left" vertical="top"/>
    </xf>
    <xf numFmtId="167" fontId="29" fillId="0" borderId="0" xfId="14" applyNumberFormat="1"/>
    <xf numFmtId="168" fontId="29" fillId="0" borderId="0" xfId="14" applyNumberFormat="1"/>
    <xf numFmtId="169" fontId="29" fillId="0" borderId="0" xfId="14" applyNumberFormat="1"/>
    <xf numFmtId="14" fontId="29" fillId="0" borderId="0" xfId="14" applyNumberFormat="1"/>
    <xf numFmtId="167" fontId="35" fillId="6" borderId="11" xfId="19" applyNumberFormat="1">
      <alignment horizontal="center" vertical="center"/>
    </xf>
    <xf numFmtId="0" fontId="35" fillId="6" borderId="11" xfId="19">
      <alignment horizontal="center" vertical="center"/>
    </xf>
    <xf numFmtId="0" fontId="35" fillId="6" borderId="12" xfId="19" applyBorder="1">
      <alignment horizontal="center" vertical="center"/>
    </xf>
    <xf numFmtId="0" fontId="35" fillId="6" borderId="13" xfId="19" applyBorder="1">
      <alignment horizontal="center" vertical="center"/>
    </xf>
    <xf numFmtId="0" fontId="35" fillId="6" borderId="14" xfId="19" applyBorder="1">
      <alignment horizontal="center" vertical="center"/>
    </xf>
    <xf numFmtId="170" fontId="37" fillId="0" borderId="15" xfId="20" applyNumberFormat="1" applyFont="1" applyBorder="1">
      <alignment vertical="top"/>
    </xf>
    <xf numFmtId="168" fontId="35" fillId="6" borderId="11" xfId="19" applyNumberFormat="1">
      <alignment horizontal="center" vertical="center"/>
    </xf>
    <xf numFmtId="169" fontId="35" fillId="6" borderId="11" xfId="19" applyNumberFormat="1">
      <alignment horizontal="center" vertical="center"/>
    </xf>
    <xf numFmtId="171" fontId="38" fillId="0" borderId="16" xfId="21" applyNumberFormat="1" applyFont="1" applyBorder="1" applyAlignment="1"/>
    <xf numFmtId="14" fontId="35" fillId="6" borderId="11" xfId="19" applyNumberFormat="1">
      <alignment horizontal="center" vertical="center"/>
    </xf>
    <xf numFmtId="0" fontId="35" fillId="6" borderId="18" xfId="19" applyBorder="1">
      <alignment horizontal="center" vertical="center"/>
    </xf>
    <xf numFmtId="167" fontId="32" fillId="5" borderId="0" xfId="17" applyNumberFormat="1" applyFont="1">
      <alignment horizontal="center" vertical="center" wrapText="1"/>
    </xf>
    <xf numFmtId="0" fontId="32" fillId="0" borderId="0" xfId="17" applyFont="1" applyFill="1">
      <alignment horizontal="center" vertical="center" wrapText="1"/>
    </xf>
    <xf numFmtId="0" fontId="32" fillId="5" borderId="20" xfId="17" applyFont="1" applyBorder="1">
      <alignment horizontal="center" vertical="center" wrapText="1"/>
    </xf>
    <xf numFmtId="168" fontId="32" fillId="5" borderId="0" xfId="17" applyNumberFormat="1" applyFont="1">
      <alignment horizontal="center" vertical="center" wrapText="1"/>
    </xf>
    <xf numFmtId="169" fontId="32" fillId="5" borderId="0" xfId="17" applyNumberFormat="1" applyFont="1">
      <alignment horizontal="center" vertical="center" wrapText="1"/>
    </xf>
    <xf numFmtId="14" fontId="32" fillId="5" borderId="0" xfId="17" applyNumberFormat="1" applyFont="1">
      <alignment horizontal="center" vertical="center" wrapText="1"/>
    </xf>
    <xf numFmtId="14" fontId="35" fillId="6" borderId="22" xfId="19" applyNumberFormat="1" applyBorder="1">
      <alignment horizontal="center" vertical="center"/>
    </xf>
    <xf numFmtId="0" fontId="0" fillId="0" borderId="23" xfId="15" applyFont="1" applyFill="1" applyBorder="1" applyAlignment="1"/>
    <xf numFmtId="0" fontId="0" fillId="0" borderId="21" xfId="15" applyFont="1" applyBorder="1" applyAlignment="1"/>
    <xf numFmtId="0" fontId="0" fillId="0" borderId="0" xfId="15" applyFont="1" applyFill="1" applyBorder="1"/>
    <xf numFmtId="0" fontId="0" fillId="0" borderId="19" xfId="15" applyFont="1" applyBorder="1" applyAlignment="1">
      <alignment horizontal="center"/>
    </xf>
    <xf numFmtId="0" fontId="0" fillId="0" borderId="17" xfId="15" applyFont="1" applyBorder="1" applyAlignment="1">
      <alignment horizontal="center"/>
    </xf>
    <xf numFmtId="0" fontId="39" fillId="0" borderId="0" xfId="22" applyFont="1"/>
    <xf numFmtId="0" fontId="40" fillId="0" borderId="0" xfId="22" applyFont="1"/>
    <xf numFmtId="0" fontId="41" fillId="0" borderId="0" xfId="22" applyFont="1"/>
    <xf numFmtId="0" fontId="42" fillId="7" borderId="29" xfId="22" applyFont="1" applyFill="1" applyBorder="1"/>
    <xf numFmtId="0" fontId="42" fillId="7" borderId="31" xfId="22" applyFont="1" applyFill="1" applyBorder="1"/>
    <xf numFmtId="0" fontId="41" fillId="0" borderId="0" xfId="22" applyFont="1" applyAlignment="1">
      <alignment horizontal="right"/>
    </xf>
    <xf numFmtId="9" fontId="41" fillId="0" borderId="0" xfId="23" applyFont="1"/>
    <xf numFmtId="172" fontId="43" fillId="0" borderId="0" xfId="22" applyNumberFormat="1" applyFont="1"/>
    <xf numFmtId="0" fontId="41" fillId="0" borderId="32" xfId="22" applyFont="1" applyBorder="1"/>
    <xf numFmtId="173" fontId="43" fillId="0" borderId="32" xfId="22" applyNumberFormat="1" applyFont="1" applyBorder="1"/>
    <xf numFmtId="9" fontId="41" fillId="0" borderId="32" xfId="23" applyFont="1" applyBorder="1"/>
    <xf numFmtId="0" fontId="44" fillId="0" borderId="0" xfId="22" applyFont="1"/>
    <xf numFmtId="172" fontId="45" fillId="0" borderId="0" xfId="22" applyNumberFormat="1" applyFont="1"/>
    <xf numFmtId="9" fontId="44" fillId="0" borderId="0" xfId="23" applyFont="1"/>
    <xf numFmtId="0" fontId="42" fillId="7" borderId="30" xfId="22" quotePrefix="1" applyFont="1" applyFill="1" applyBorder="1"/>
    <xf numFmtId="0" fontId="41" fillId="0" borderId="0" xfId="22" quotePrefix="1" applyFont="1" applyAlignment="1">
      <alignment horizontal="right"/>
    </xf>
    <xf numFmtId="0" fontId="46" fillId="0" borderId="0" xfId="5" applyFont="1" applyAlignment="1">
      <alignment vertical="center"/>
    </xf>
    <xf numFmtId="0" fontId="47" fillId="0" borderId="0" xfId="24" applyFont="1"/>
    <xf numFmtId="0" fontId="48" fillId="0" borderId="0" xfId="24" applyFont="1"/>
    <xf numFmtId="0" fontId="47" fillId="0" borderId="33" xfId="24" applyFont="1" applyBorder="1"/>
    <xf numFmtId="0" fontId="47" fillId="0" borderId="0" xfId="24" applyFont="1" applyAlignment="1">
      <alignment vertical="center"/>
    </xf>
    <xf numFmtId="0" fontId="47" fillId="0" borderId="0" xfId="24" applyFont="1" applyAlignment="1">
      <alignment horizontal="center" vertical="center"/>
    </xf>
    <xf numFmtId="0" fontId="47" fillId="0" borderId="34" xfId="24" applyFont="1" applyBorder="1"/>
    <xf numFmtId="0" fontId="49" fillId="8" borderId="2" xfId="5" applyFont="1" applyFill="1" applyBorder="1" applyAlignment="1">
      <alignment horizontal="center" vertical="center" wrapText="1"/>
    </xf>
    <xf numFmtId="0" fontId="50" fillId="0" borderId="34" xfId="24" applyFont="1" applyBorder="1"/>
    <xf numFmtId="0" fontId="51" fillId="9" borderId="37" xfId="24" applyFont="1" applyFill="1" applyBorder="1" applyAlignment="1">
      <alignment horizontal="center" vertical="center"/>
    </xf>
    <xf numFmtId="0" fontId="51" fillId="0" borderId="37" xfId="24" applyFont="1" applyBorder="1" applyAlignment="1">
      <alignment horizontal="center" vertical="center"/>
    </xf>
    <xf numFmtId="0" fontId="51" fillId="0" borderId="39" xfId="24" applyFont="1" applyBorder="1" applyAlignment="1">
      <alignment horizontal="center" vertical="center"/>
    </xf>
    <xf numFmtId="0" fontId="51" fillId="0" borderId="0" xfId="24" applyFont="1" applyAlignment="1">
      <alignment horizontal="center" vertical="center"/>
    </xf>
    <xf numFmtId="0" fontId="50" fillId="9" borderId="0" xfId="24" applyFont="1" applyFill="1" applyAlignment="1">
      <alignment horizontal="left" vertical="center" wrapText="1"/>
    </xf>
    <xf numFmtId="0" fontId="50" fillId="0" borderId="0" xfId="24" applyFont="1" applyAlignment="1">
      <alignment horizontal="center" vertical="center" wrapText="1"/>
    </xf>
    <xf numFmtId="0" fontId="52" fillId="0" borderId="0" xfId="25" applyFont="1"/>
    <xf numFmtId="0" fontId="48" fillId="0" borderId="0" xfId="25" applyFont="1"/>
    <xf numFmtId="0" fontId="47" fillId="0" borderId="0" xfId="25" applyFont="1"/>
    <xf numFmtId="0" fontId="53" fillId="0" borderId="0" xfId="25" applyFont="1"/>
    <xf numFmtId="0" fontId="24" fillId="0" borderId="0" xfId="25"/>
    <xf numFmtId="0" fontId="54" fillId="8" borderId="37" xfId="25" applyFont="1" applyFill="1" applyBorder="1" applyAlignment="1">
      <alignment horizontal="center" vertical="center"/>
    </xf>
    <xf numFmtId="0" fontId="54" fillId="8" borderId="2" xfId="25" applyFont="1" applyFill="1" applyBorder="1" applyAlignment="1">
      <alignment horizontal="center" vertical="center" wrapText="1"/>
    </xf>
    <xf numFmtId="0" fontId="54" fillId="8" borderId="38" xfId="25" applyFont="1" applyFill="1" applyBorder="1" applyAlignment="1">
      <alignment horizontal="center" vertical="center"/>
    </xf>
    <xf numFmtId="0" fontId="51" fillId="9" borderId="37" xfId="25" applyFont="1" applyFill="1" applyBorder="1" applyAlignment="1">
      <alignment horizontal="center" vertical="center"/>
    </xf>
    <xf numFmtId="0" fontId="50" fillId="9" borderId="2" xfId="25" applyFont="1" applyFill="1" applyBorder="1" applyAlignment="1">
      <alignment horizontal="left" vertical="center" wrapText="1"/>
    </xf>
    <xf numFmtId="0" fontId="50" fillId="0" borderId="2" xfId="25" applyFont="1" applyBorder="1" applyAlignment="1">
      <alignment horizontal="center" vertical="center" wrapText="1"/>
    </xf>
    <xf numFmtId="0" fontId="50" fillId="9" borderId="2" xfId="25" applyFont="1" applyFill="1" applyBorder="1" applyAlignment="1">
      <alignment horizontal="center" vertical="center" wrapText="1"/>
    </xf>
    <xf numFmtId="0" fontId="50" fillId="9" borderId="38" xfId="25" applyFont="1" applyFill="1" applyBorder="1" applyAlignment="1">
      <alignment horizontal="center" vertical="center" wrapText="1"/>
    </xf>
    <xf numFmtId="0" fontId="47" fillId="0" borderId="2" xfId="25" applyFont="1" applyBorder="1" applyAlignment="1">
      <alignment horizontal="center" vertical="center"/>
    </xf>
    <xf numFmtId="0" fontId="47" fillId="0" borderId="38" xfId="25" applyFont="1" applyBorder="1" applyAlignment="1">
      <alignment horizontal="center" vertical="center"/>
    </xf>
    <xf numFmtId="0" fontId="51" fillId="0" borderId="37" xfId="25" applyFont="1" applyBorder="1" applyAlignment="1">
      <alignment horizontal="center" vertical="center"/>
    </xf>
    <xf numFmtId="0" fontId="24" fillId="0" borderId="39" xfId="25" applyBorder="1"/>
    <xf numFmtId="0" fontId="51" fillId="9" borderId="40" xfId="25" applyFont="1" applyFill="1" applyBorder="1" applyAlignment="1">
      <alignment horizontal="left" vertical="center" wrapText="1"/>
    </xf>
    <xf numFmtId="0" fontId="24" fillId="0" borderId="40" xfId="25" applyBorder="1"/>
    <xf numFmtId="0" fontId="24" fillId="0" borderId="41" xfId="25" applyBorder="1"/>
    <xf numFmtId="0" fontId="18" fillId="0" borderId="52" xfId="24" applyFont="1" applyBorder="1"/>
    <xf numFmtId="0" fontId="18" fillId="9" borderId="0" xfId="24" applyFont="1" applyFill="1"/>
    <xf numFmtId="0" fontId="18" fillId="0" borderId="0" xfId="24" applyFont="1"/>
    <xf numFmtId="0" fontId="4" fillId="0" borderId="0" xfId="24"/>
    <xf numFmtId="0" fontId="18" fillId="0" borderId="34" xfId="24" applyFont="1" applyBorder="1"/>
    <xf numFmtId="0" fontId="14" fillId="0" borderId="34" xfId="24" applyFont="1" applyBorder="1"/>
    <xf numFmtId="0" fontId="14" fillId="9" borderId="0" xfId="24" applyFont="1" applyFill="1"/>
    <xf numFmtId="0" fontId="14" fillId="0" borderId="0" xfId="24" applyFont="1"/>
    <xf numFmtId="0" fontId="18" fillId="0" borderId="0" xfId="24" applyFont="1" applyAlignment="1">
      <alignment horizontal="center"/>
    </xf>
    <xf numFmtId="0" fontId="22" fillId="2" borderId="4" xfId="3" applyFont="1" applyFill="1" applyBorder="1" applyAlignment="1">
      <alignment horizontal="center" vertical="center"/>
    </xf>
    <xf numFmtId="0" fontId="18" fillId="0" borderId="0" xfId="0" applyFont="1" applyAlignment="1">
      <alignment vertical="center"/>
    </xf>
    <xf numFmtId="0" fontId="50" fillId="9" borderId="6" xfId="24" applyFont="1" applyFill="1" applyBorder="1" applyAlignment="1">
      <alignment vertical="center" wrapText="1"/>
    </xf>
    <xf numFmtId="0" fontId="22" fillId="0" borderId="4" xfId="4" applyFont="1" applyBorder="1" applyAlignment="1">
      <alignment horizontal="left" vertical="top" wrapText="1"/>
    </xf>
    <xf numFmtId="0" fontId="16" fillId="8" borderId="36" xfId="5" applyFont="1" applyFill="1" applyBorder="1" applyAlignment="1">
      <alignment horizontal="center" vertical="center" wrapText="1"/>
    </xf>
    <xf numFmtId="0" fontId="59" fillId="9" borderId="6" xfId="24" applyFont="1" applyFill="1" applyBorder="1" applyAlignment="1">
      <alignment horizontal="center" vertical="center"/>
    </xf>
    <xf numFmtId="0" fontId="14" fillId="9" borderId="0" xfId="24" applyFont="1" applyFill="1" applyAlignment="1">
      <alignment horizontal="center"/>
    </xf>
    <xf numFmtId="0" fontId="14" fillId="0" borderId="0" xfId="24" applyFont="1" applyAlignment="1">
      <alignment horizontal="center"/>
    </xf>
    <xf numFmtId="0" fontId="16" fillId="8" borderId="48" xfId="5" applyFont="1" applyFill="1" applyBorder="1" applyAlignment="1">
      <alignment horizontal="center" vertical="center" wrapText="1"/>
    </xf>
    <xf numFmtId="0" fontId="16" fillId="8" borderId="6" xfId="5" applyFont="1" applyFill="1" applyBorder="1" applyAlignment="1">
      <alignment horizontal="center" vertical="center" wrapText="1"/>
    </xf>
    <xf numFmtId="0" fontId="16" fillId="8" borderId="35" xfId="5" applyFont="1" applyFill="1" applyBorder="1" applyAlignment="1">
      <alignment horizontal="center" vertical="center" wrapText="1"/>
    </xf>
    <xf numFmtId="0" fontId="16" fillId="8" borderId="36" xfId="5" applyFont="1" applyFill="1" applyBorder="1" applyAlignment="1">
      <alignment horizontal="center" vertical="center"/>
    </xf>
    <xf numFmtId="0" fontId="60" fillId="9" borderId="35" xfId="24" applyFont="1" applyFill="1" applyBorder="1" applyAlignment="1">
      <alignment vertical="center"/>
    </xf>
    <xf numFmtId="0" fontId="60" fillId="9" borderId="36" xfId="24" applyFont="1" applyFill="1" applyBorder="1" applyAlignment="1">
      <alignment horizontal="center" vertical="center"/>
    </xf>
    <xf numFmtId="0" fontId="14" fillId="0" borderId="35" xfId="27" applyFont="1" applyBorder="1" applyAlignment="1">
      <alignment vertical="center"/>
    </xf>
    <xf numFmtId="0" fontId="14" fillId="0" borderId="36" xfId="27" applyFont="1" applyBorder="1" applyAlignment="1">
      <alignment vertical="center"/>
    </xf>
    <xf numFmtId="0" fontId="16" fillId="8" borderId="35" xfId="5" applyFont="1" applyFill="1" applyBorder="1" applyAlignment="1">
      <alignment horizontal="center" vertical="center"/>
    </xf>
    <xf numFmtId="0" fontId="60" fillId="9" borderId="35" xfId="24" applyFont="1" applyFill="1" applyBorder="1" applyAlignment="1">
      <alignment horizontal="center" vertical="center"/>
    </xf>
    <xf numFmtId="0" fontId="60" fillId="0" borderId="35" xfId="24" applyFont="1" applyBorder="1" applyAlignment="1">
      <alignment horizontal="right" vertical="center"/>
    </xf>
    <xf numFmtId="0" fontId="60" fillId="0" borderId="36" xfId="24" applyFont="1" applyBorder="1" applyAlignment="1">
      <alignment horizontal="right" vertical="center"/>
    </xf>
    <xf numFmtId="0" fontId="62" fillId="0" borderId="35" xfId="0" applyFont="1" applyBorder="1"/>
    <xf numFmtId="0" fontId="62" fillId="0" borderId="36" xfId="0" applyFont="1" applyBorder="1"/>
    <xf numFmtId="0" fontId="60" fillId="0" borderId="35" xfId="24" applyFont="1" applyBorder="1" applyAlignment="1">
      <alignment horizontal="left" vertical="center"/>
    </xf>
    <xf numFmtId="0" fontId="14" fillId="9" borderId="35" xfId="27" applyFont="1" applyFill="1" applyBorder="1"/>
    <xf numFmtId="0" fontId="14" fillId="9" borderId="36" xfId="27" applyFont="1" applyFill="1" applyBorder="1"/>
    <xf numFmtId="0" fontId="0" fillId="0" borderId="50" xfId="0" applyBorder="1"/>
    <xf numFmtId="0" fontId="0" fillId="0" borderId="3" xfId="0" applyBorder="1" applyAlignment="1">
      <alignment vertical="center"/>
    </xf>
    <xf numFmtId="166" fontId="11" fillId="0" borderId="2" xfId="0" applyNumberFormat="1" applyFont="1" applyBorder="1" applyAlignment="1">
      <alignment horizontal="center" vertical="center" wrapText="1"/>
    </xf>
    <xf numFmtId="0" fontId="50" fillId="9" borderId="42" xfId="24" applyFont="1" applyFill="1" applyBorder="1" applyAlignment="1">
      <alignment vertical="center" wrapText="1"/>
    </xf>
    <xf numFmtId="0" fontId="22" fillId="0" borderId="4" xfId="3" applyFont="1" applyBorder="1" applyAlignment="1">
      <alignment horizontal="center" vertical="center"/>
    </xf>
    <xf numFmtId="0" fontId="51" fillId="9" borderId="37" xfId="27" applyFont="1" applyFill="1" applyBorder="1" applyAlignment="1">
      <alignment horizontal="center" vertical="center"/>
    </xf>
    <xf numFmtId="0" fontId="50" fillId="9" borderId="2" xfId="27" applyFont="1" applyFill="1" applyBorder="1" applyAlignment="1">
      <alignment horizontal="left" vertical="center"/>
    </xf>
    <xf numFmtId="0" fontId="50" fillId="0" borderId="2" xfId="27" applyFont="1" applyBorder="1" applyAlignment="1">
      <alignment horizontal="left" vertical="center"/>
    </xf>
    <xf numFmtId="0" fontId="50" fillId="0" borderId="38" xfId="27" applyFont="1" applyBorder="1" applyAlignment="1">
      <alignment horizontal="left" vertical="center"/>
    </xf>
    <xf numFmtId="6" fontId="50" fillId="0" borderId="38" xfId="27" applyNumberFormat="1" applyFont="1" applyBorder="1" applyAlignment="1">
      <alignment horizontal="left" vertical="center"/>
    </xf>
    <xf numFmtId="0" fontId="51" fillId="9" borderId="39" xfId="27" applyFont="1" applyFill="1" applyBorder="1" applyAlignment="1">
      <alignment horizontal="center" vertical="center"/>
    </xf>
    <xf numFmtId="0" fontId="50" fillId="9" borderId="40" xfId="27" applyFont="1" applyFill="1" applyBorder="1" applyAlignment="1">
      <alignment horizontal="left" vertical="center"/>
    </xf>
    <xf numFmtId="0" fontId="50" fillId="0" borderId="40" xfId="27" applyFont="1" applyBorder="1" applyAlignment="1">
      <alignment horizontal="left" vertical="center"/>
    </xf>
    <xf numFmtId="0" fontId="50" fillId="0" borderId="41" xfId="27" applyFont="1" applyBorder="1" applyAlignment="1">
      <alignment horizontal="left" vertical="center"/>
    </xf>
    <xf numFmtId="0" fontId="50" fillId="0" borderId="2" xfId="24" applyFont="1" applyBorder="1" applyAlignment="1">
      <alignment vertical="center" wrapText="1"/>
    </xf>
    <xf numFmtId="0" fontId="50" fillId="9" borderId="2" xfId="24" applyFont="1" applyFill="1" applyBorder="1" applyAlignment="1">
      <alignment vertical="center" wrapText="1"/>
    </xf>
    <xf numFmtId="0" fontId="50" fillId="9" borderId="2" xfId="24" applyFont="1" applyFill="1" applyBorder="1" applyAlignment="1">
      <alignment horizontal="right" vertical="center" wrapText="1"/>
    </xf>
    <xf numFmtId="0" fontId="50" fillId="9" borderId="38" xfId="24" applyFont="1" applyFill="1" applyBorder="1" applyAlignment="1">
      <alignment horizontal="right" vertical="center" wrapText="1"/>
    </xf>
    <xf numFmtId="0" fontId="47" fillId="0" borderId="2" xfId="24" applyFont="1" applyBorder="1" applyAlignment="1">
      <alignment vertical="center"/>
    </xf>
    <xf numFmtId="0" fontId="47" fillId="0" borderId="2" xfId="24" applyFont="1" applyBorder="1" applyAlignment="1">
      <alignment horizontal="right" vertical="center"/>
    </xf>
    <xf numFmtId="0" fontId="47" fillId="0" borderId="38" xfId="24" applyFont="1" applyBorder="1" applyAlignment="1">
      <alignment horizontal="right" vertical="center"/>
    </xf>
    <xf numFmtId="0" fontId="50" fillId="0" borderId="40" xfId="24" applyFont="1" applyBorder="1" applyAlignment="1">
      <alignment vertical="center" wrapText="1"/>
    </xf>
    <xf numFmtId="0" fontId="47" fillId="0" borderId="40" xfId="24" applyFont="1" applyBorder="1" applyAlignment="1">
      <alignment vertical="center"/>
    </xf>
    <xf numFmtId="0" fontId="47" fillId="0" borderId="40" xfId="24" applyFont="1" applyBorder="1" applyAlignment="1">
      <alignment horizontal="right" vertical="center"/>
    </xf>
    <xf numFmtId="0" fontId="47" fillId="0" borderId="41" xfId="24" applyFont="1" applyBorder="1" applyAlignment="1">
      <alignment horizontal="right" vertical="center"/>
    </xf>
    <xf numFmtId="0" fontId="51" fillId="0" borderId="2" xfId="24" applyFont="1" applyBorder="1" applyAlignment="1">
      <alignment horizontal="center" vertical="center"/>
    </xf>
    <xf numFmtId="0" fontId="50" fillId="9" borderId="38" xfId="24" applyFont="1" applyFill="1" applyBorder="1" applyAlignment="1">
      <alignment vertical="center" wrapText="1"/>
    </xf>
    <xf numFmtId="0" fontId="47" fillId="0" borderId="38" xfId="24" applyFont="1" applyBorder="1" applyAlignment="1">
      <alignment vertical="center"/>
    </xf>
    <xf numFmtId="0" fontId="14" fillId="0" borderId="4" xfId="3" applyFont="1" applyBorder="1" applyAlignment="1">
      <alignment horizontal="justify" vertical="top" wrapText="1"/>
    </xf>
    <xf numFmtId="166" fontId="27" fillId="0" borderId="2" xfId="30" applyNumberFormat="1" applyFont="1" applyBorder="1" applyAlignment="1">
      <alignment horizontal="left" vertical="top" wrapText="1"/>
    </xf>
    <xf numFmtId="0" fontId="23" fillId="0" borderId="2" xfId="0" applyFont="1" applyBorder="1" applyAlignment="1">
      <alignment vertical="center" wrapText="1"/>
    </xf>
    <xf numFmtId="14" fontId="22" fillId="0" borderId="4" xfId="29" applyNumberFormat="1" applyFont="1" applyBorder="1" applyAlignment="1">
      <alignment horizontal="left" vertical="center"/>
    </xf>
    <xf numFmtId="0" fontId="14" fillId="0" borderId="5" xfId="29" applyFont="1" applyBorder="1" applyAlignment="1">
      <alignment horizontal="left" vertical="center"/>
    </xf>
    <xf numFmtId="0" fontId="22" fillId="0" borderId="4" xfId="29" applyFont="1" applyBorder="1" applyAlignment="1">
      <alignment horizontal="left" vertical="center"/>
    </xf>
    <xf numFmtId="166" fontId="18" fillId="0" borderId="2" xfId="28" applyNumberFormat="1" applyFont="1" applyBorder="1" applyAlignment="1">
      <alignment horizontal="left" vertical="center" wrapText="1"/>
    </xf>
    <xf numFmtId="0" fontId="18" fillId="0" borderId="6" xfId="28" applyFont="1" applyBorder="1" applyAlignment="1">
      <alignment horizontal="left" vertical="center" wrapText="1"/>
    </xf>
    <xf numFmtId="0" fontId="14" fillId="0" borderId="7" xfId="28" applyFont="1" applyBorder="1" applyAlignment="1">
      <alignment vertical="top" wrapText="1"/>
    </xf>
    <xf numFmtId="0" fontId="22" fillId="0" borderId="4" xfId="29" applyFont="1" applyBorder="1" applyAlignment="1">
      <alignment horizontal="left" vertical="top"/>
    </xf>
    <xf numFmtId="166" fontId="8" fillId="0" borderId="2" xfId="30" applyNumberFormat="1" applyFont="1" applyBorder="1" applyAlignment="1">
      <alignment horizontal="center" vertical="center" wrapText="1"/>
    </xf>
    <xf numFmtId="0" fontId="22" fillId="2" borderId="4" xfId="29" applyFont="1" applyFill="1" applyBorder="1" applyAlignment="1">
      <alignment horizontal="center" vertical="center"/>
    </xf>
    <xf numFmtId="0" fontId="23" fillId="0" borderId="4" xfId="3" applyFont="1" applyBorder="1" applyAlignment="1">
      <alignment horizontal="justify" vertical="top" wrapText="1"/>
    </xf>
    <xf numFmtId="0" fontId="23" fillId="0" borderId="0" xfId="0" applyFont="1"/>
    <xf numFmtId="14" fontId="23" fillId="0" borderId="4" xfId="3" applyNumberFormat="1" applyFont="1" applyBorder="1" applyAlignment="1">
      <alignment horizontal="left" vertical="center"/>
    </xf>
    <xf numFmtId="14" fontId="22" fillId="0" borderId="53" xfId="3" applyNumberFormat="1" applyFont="1" applyBorder="1" applyAlignment="1">
      <alignment horizontal="left" vertical="center"/>
    </xf>
    <xf numFmtId="166" fontId="65" fillId="0" borderId="2" xfId="0" applyNumberFormat="1" applyFont="1" applyBorder="1" applyAlignment="1">
      <alignment horizontal="center" vertical="center" wrapText="1"/>
    </xf>
    <xf numFmtId="0" fontId="23" fillId="2" borderId="4" xfId="3" applyFont="1" applyFill="1" applyBorder="1" applyAlignment="1">
      <alignment horizontal="center" vertical="center"/>
    </xf>
    <xf numFmtId="0" fontId="14" fillId="0" borderId="6" xfId="6" applyFont="1" applyBorder="1" applyAlignment="1">
      <alignment horizontal="left" vertical="center" wrapText="1"/>
    </xf>
    <xf numFmtId="0" fontId="14" fillId="0" borderId="4" xfId="3" applyFont="1" applyBorder="1" applyAlignment="1">
      <alignment horizontal="left" vertical="center"/>
    </xf>
    <xf numFmtId="14" fontId="14" fillId="0" borderId="4" xfId="3" applyNumberFormat="1" applyFont="1" applyBorder="1" applyAlignment="1">
      <alignment horizontal="left" vertical="center"/>
    </xf>
    <xf numFmtId="166" fontId="14" fillId="0" borderId="2" xfId="6" applyNumberFormat="1" applyFont="1" applyBorder="1" applyAlignment="1">
      <alignment horizontal="left" vertical="center" wrapText="1"/>
    </xf>
    <xf numFmtId="166" fontId="27" fillId="0" borderId="2" xfId="30" applyNumberFormat="1" applyFont="1" applyBorder="1" applyAlignment="1">
      <alignment horizontal="left" vertical="center" wrapText="1"/>
    </xf>
    <xf numFmtId="0" fontId="67" fillId="0" borderId="0" xfId="0" applyFont="1"/>
    <xf numFmtId="0" fontId="68" fillId="0" borderId="5" xfId="3" applyFont="1" applyBorder="1" applyAlignment="1">
      <alignment horizontal="left" vertical="center"/>
    </xf>
    <xf numFmtId="0" fontId="69" fillId="0" borderId="56" xfId="3" applyFont="1" applyBorder="1" applyAlignment="1">
      <alignment horizontal="left" vertical="center"/>
    </xf>
    <xf numFmtId="166" fontId="67" fillId="0" borderId="54" xfId="6" applyNumberFormat="1" applyFont="1" applyBorder="1" applyAlignment="1">
      <alignment horizontal="left" vertical="center" wrapText="1"/>
    </xf>
    <xf numFmtId="14" fontId="69" fillId="0" borderId="56" xfId="3" applyNumberFormat="1" applyFont="1" applyBorder="1" applyAlignment="1">
      <alignment horizontal="left" vertical="center"/>
    </xf>
    <xf numFmtId="0" fontId="67" fillId="0" borderId="55" xfId="6" applyFont="1" applyBorder="1" applyAlignment="1">
      <alignment horizontal="left" vertical="center" wrapText="1"/>
    </xf>
    <xf numFmtId="0" fontId="68" fillId="0" borderId="7" xfId="6" applyFont="1" applyBorder="1" applyAlignment="1">
      <alignment vertical="top" wrapText="1"/>
    </xf>
    <xf numFmtId="0" fontId="69" fillId="0" borderId="56" xfId="3" applyFont="1" applyBorder="1" applyAlignment="1">
      <alignment horizontal="left" vertical="top" wrapText="1"/>
    </xf>
    <xf numFmtId="166" fontId="70" fillId="0" borderId="54" xfId="0" applyNumberFormat="1" applyFont="1" applyBorder="1" applyAlignment="1">
      <alignment horizontal="left" vertical="center" wrapText="1"/>
    </xf>
    <xf numFmtId="166" fontId="71" fillId="0" borderId="54" xfId="0" applyNumberFormat="1" applyFont="1" applyBorder="1" applyAlignment="1">
      <alignment horizontal="center" vertical="center" wrapText="1"/>
    </xf>
    <xf numFmtId="0" fontId="69" fillId="2" borderId="56" xfId="3" applyFont="1" applyFill="1" applyBorder="1" applyAlignment="1">
      <alignment horizontal="center" vertical="center"/>
    </xf>
    <xf numFmtId="0" fontId="14" fillId="0" borderId="56" xfId="3" applyFont="1" applyBorder="1" applyAlignment="1">
      <alignment horizontal="left" vertical="top" wrapText="1"/>
    </xf>
    <xf numFmtId="0" fontId="73" fillId="0" borderId="0" xfId="0" applyFont="1"/>
    <xf numFmtId="0" fontId="74" fillId="10" borderId="54" xfId="0" applyFont="1" applyFill="1" applyBorder="1" applyAlignment="1">
      <alignment horizontal="center"/>
    </xf>
    <xf numFmtId="0" fontId="74" fillId="10" borderId="54" xfId="0" applyFont="1" applyFill="1" applyBorder="1"/>
    <xf numFmtId="0" fontId="75" fillId="0" borderId="54" xfId="35" applyFont="1" applyBorder="1" applyAlignment="1">
      <alignment horizontal="left" vertical="center" indent="1"/>
    </xf>
    <xf numFmtId="0" fontId="73" fillId="0" borderId="54" xfId="0" applyFont="1" applyBorder="1"/>
    <xf numFmtId="0" fontId="73" fillId="0" borderId="54" xfId="0" applyFont="1" applyBorder="1" applyAlignment="1">
      <alignment wrapText="1"/>
    </xf>
    <xf numFmtId="0" fontId="76" fillId="10" borderId="58" xfId="0" applyFont="1" applyFill="1" applyBorder="1" applyAlignment="1">
      <alignment horizontal="center"/>
    </xf>
    <xf numFmtId="0" fontId="77" fillId="10" borderId="0" xfId="0" applyFont="1" applyFill="1"/>
    <xf numFmtId="167" fontId="29" fillId="0" borderId="0" xfId="14" applyNumberFormat="1" applyAlignment="1">
      <alignment horizontal="center" wrapText="1"/>
    </xf>
    <xf numFmtId="0" fontId="32" fillId="5" borderId="0" xfId="17" applyFont="1" applyAlignment="1">
      <alignment horizontal="center" vertical="center" wrapText="1"/>
    </xf>
    <xf numFmtId="167" fontId="32" fillId="5" borderId="0" xfId="17" applyNumberFormat="1" applyFont="1" applyAlignment="1">
      <alignment horizontal="center" vertical="center" wrapText="1"/>
    </xf>
    <xf numFmtId="0" fontId="35" fillId="6" borderId="24" xfId="19" applyBorder="1" applyAlignment="1">
      <alignment horizontal="center" vertical="center"/>
    </xf>
    <xf numFmtId="0" fontId="35" fillId="6" borderId="23" xfId="19" applyBorder="1" applyAlignment="1">
      <alignment horizontal="center" vertical="center"/>
    </xf>
    <xf numFmtId="0" fontId="35" fillId="6" borderId="12" xfId="19" applyBorder="1" applyAlignment="1">
      <alignment horizontal="center" vertical="center"/>
    </xf>
    <xf numFmtId="0" fontId="35" fillId="6" borderId="28" xfId="19" applyBorder="1" applyAlignment="1">
      <alignment horizontal="center" vertical="center"/>
    </xf>
    <xf numFmtId="0" fontId="35" fillId="6" borderId="27" xfId="19" applyBorder="1" applyAlignment="1">
      <alignment horizontal="center" vertical="center"/>
    </xf>
    <xf numFmtId="0" fontId="35" fillId="6" borderId="26" xfId="19" applyBorder="1" applyAlignment="1">
      <alignment horizontal="center" vertical="center"/>
    </xf>
    <xf numFmtId="0" fontId="29" fillId="0" borderId="0" xfId="14" applyAlignment="1">
      <alignment horizontal="center" vertical="center" wrapText="1"/>
    </xf>
    <xf numFmtId="0" fontId="49" fillId="8" borderId="6" xfId="5" applyFont="1" applyFill="1" applyBorder="1" applyAlignment="1">
      <alignment horizontal="center" vertical="center" wrapText="1"/>
    </xf>
    <xf numFmtId="0" fontId="49" fillId="8" borderId="35" xfId="5" applyFont="1" applyFill="1" applyBorder="1" applyAlignment="1">
      <alignment horizontal="center" vertical="center" wrapText="1"/>
    </xf>
    <xf numFmtId="0" fontId="49" fillId="8" borderId="36" xfId="5" applyFont="1" applyFill="1" applyBorder="1" applyAlignment="1">
      <alignment horizontal="center" vertical="center" wrapText="1"/>
    </xf>
    <xf numFmtId="0" fontId="49" fillId="8" borderId="46" xfId="5" applyFont="1" applyFill="1" applyBorder="1" applyAlignment="1">
      <alignment horizontal="center" vertical="center" wrapText="1"/>
    </xf>
    <xf numFmtId="0" fontId="49" fillId="8" borderId="47" xfId="5" applyFont="1" applyFill="1" applyBorder="1" applyAlignment="1">
      <alignment horizontal="center" vertical="center" wrapText="1"/>
    </xf>
    <xf numFmtId="0" fontId="49" fillId="8" borderId="48" xfId="5" applyFont="1" applyFill="1" applyBorder="1" applyAlignment="1">
      <alignment horizontal="center" vertical="center" wrapText="1"/>
    </xf>
    <xf numFmtId="0" fontId="16" fillId="8" borderId="6" xfId="5" applyFont="1" applyFill="1" applyBorder="1" applyAlignment="1">
      <alignment horizontal="center" vertical="center" wrapText="1"/>
    </xf>
    <xf numFmtId="0" fontId="16" fillId="8" borderId="35" xfId="5" applyFont="1" applyFill="1" applyBorder="1" applyAlignment="1">
      <alignment horizontal="center" vertical="center" wrapText="1"/>
    </xf>
    <xf numFmtId="0" fontId="16" fillId="8" borderId="46" xfId="5" applyFont="1" applyFill="1" applyBorder="1" applyAlignment="1">
      <alignment horizontal="center" vertical="center" wrapText="1"/>
    </xf>
    <xf numFmtId="0" fontId="16" fillId="8" borderId="47" xfId="5" applyFont="1" applyFill="1" applyBorder="1" applyAlignment="1">
      <alignment horizontal="center" vertical="center" wrapText="1"/>
    </xf>
    <xf numFmtId="0" fontId="24" fillId="0" borderId="46" xfId="25" applyBorder="1" applyAlignment="1">
      <alignment horizontal="left"/>
    </xf>
    <xf numFmtId="0" fontId="24" fillId="0" borderId="47" xfId="25" applyBorder="1" applyAlignment="1">
      <alignment horizontal="left"/>
    </xf>
    <xf numFmtId="0" fontId="24" fillId="0" borderId="48" xfId="25" applyBorder="1" applyAlignment="1">
      <alignment horizontal="left"/>
    </xf>
    <xf numFmtId="0" fontId="24" fillId="0" borderId="1" xfId="25" applyBorder="1" applyAlignment="1">
      <alignment horizontal="left"/>
    </xf>
    <xf numFmtId="0" fontId="24" fillId="0" borderId="0" xfId="25" applyAlignment="1">
      <alignment horizontal="left"/>
    </xf>
    <xf numFmtId="0" fontId="24" fillId="0" borderId="49" xfId="25" applyBorder="1" applyAlignment="1">
      <alignment horizontal="left"/>
    </xf>
    <xf numFmtId="0" fontId="24" fillId="0" borderId="50" xfId="25" applyBorder="1" applyAlignment="1">
      <alignment horizontal="left"/>
    </xf>
    <xf numFmtId="0" fontId="24" fillId="0" borderId="3" xfId="25" applyBorder="1" applyAlignment="1">
      <alignment horizontal="left"/>
    </xf>
    <xf numFmtId="0" fontId="24" fillId="0" borderId="51" xfId="25" applyBorder="1" applyAlignment="1">
      <alignment horizontal="left"/>
    </xf>
    <xf numFmtId="0" fontId="54" fillId="8" borderId="43" xfId="25" applyFont="1" applyFill="1" applyBorder="1" applyAlignment="1">
      <alignment horizontal="center" vertical="center" wrapText="1"/>
    </xf>
    <xf numFmtId="0" fontId="54" fillId="8" borderId="44" xfId="25" applyFont="1" applyFill="1" applyBorder="1" applyAlignment="1">
      <alignment horizontal="center" vertical="center" wrapText="1"/>
    </xf>
    <xf numFmtId="0" fontId="54" fillId="8" borderId="45" xfId="25" applyFont="1" applyFill="1" applyBorder="1" applyAlignment="1">
      <alignment horizontal="center" vertical="center" wrapText="1"/>
    </xf>
    <xf numFmtId="0" fontId="74" fillId="10" borderId="55" xfId="0" applyFont="1" applyFill="1" applyBorder="1" applyAlignment="1">
      <alignment horizontal="center"/>
    </xf>
    <xf numFmtId="0" fontId="74" fillId="10" borderId="57" xfId="0" applyFont="1" applyFill="1" applyBorder="1" applyAlignment="1">
      <alignment horizontal="center"/>
    </xf>
    <xf numFmtId="0" fontId="76" fillId="10" borderId="1" xfId="0" applyFont="1" applyFill="1" applyBorder="1" applyAlignment="1">
      <alignment horizontal="center"/>
    </xf>
    <xf numFmtId="0" fontId="76" fillId="10" borderId="0" xfId="0" applyFont="1" applyFill="1" applyAlignment="1">
      <alignment horizontal="center"/>
    </xf>
    <xf numFmtId="166" fontId="27" fillId="0" borderId="54" xfId="0" applyNumberFormat="1" applyFont="1" applyBorder="1" applyAlignment="1">
      <alignment horizontal="left" vertical="center" wrapText="1"/>
    </xf>
    <xf numFmtId="0" fontId="22" fillId="2" borderId="56" xfId="3" applyFont="1" applyFill="1" applyBorder="1" applyAlignment="1">
      <alignment horizontal="center" vertical="center"/>
    </xf>
    <xf numFmtId="166" fontId="8" fillId="0" borderId="54" xfId="0" applyNumberFormat="1" applyFont="1" applyBorder="1" applyAlignment="1">
      <alignment horizontal="center" vertical="center" wrapText="1"/>
    </xf>
    <xf numFmtId="0" fontId="22" fillId="0" borderId="56" xfId="3" applyFont="1" applyBorder="1" applyAlignment="1">
      <alignment horizontal="left" vertical="center"/>
    </xf>
    <xf numFmtId="166" fontId="18" fillId="0" borderId="54" xfId="6" applyNumberFormat="1" applyFont="1" applyBorder="1" applyAlignment="1">
      <alignment horizontal="left" vertical="center" wrapText="1"/>
    </xf>
    <xf numFmtId="14" fontId="22" fillId="0" borderId="56" xfId="3" applyNumberFormat="1" applyFont="1" applyBorder="1" applyAlignment="1">
      <alignment horizontal="left" vertical="center"/>
    </xf>
    <xf numFmtId="0" fontId="18" fillId="0" borderId="55" xfId="6" applyFont="1" applyBorder="1" applyAlignment="1">
      <alignment horizontal="left" vertical="center" wrapText="1"/>
    </xf>
    <xf numFmtId="0" fontId="22" fillId="0" borderId="56" xfId="3" quotePrefix="1" applyFont="1" applyBorder="1" applyAlignment="1">
      <alignment horizontal="left" vertical="top" wrapText="1"/>
    </xf>
    <xf numFmtId="0" fontId="78" fillId="0" borderId="59" xfId="36" applyFont="1" applyBorder="1" applyAlignment="1">
      <alignment horizontal="left"/>
    </xf>
    <xf numFmtId="175" fontId="78" fillId="0" borderId="59" xfId="37" applyNumberFormat="1" applyFont="1" applyBorder="1" applyAlignment="1">
      <alignment horizontal="right" wrapText="1"/>
    </xf>
    <xf numFmtId="0" fontId="8" fillId="0" borderId="0" xfId="0" applyFont="1"/>
    <xf numFmtId="0" fontId="8" fillId="11" borderId="0" xfId="0" applyFont="1" applyFill="1"/>
    <xf numFmtId="176" fontId="8" fillId="0" borderId="0" xfId="0" applyNumberFormat="1" applyFont="1"/>
    <xf numFmtId="0" fontId="79" fillId="0" borderId="0" xfId="0" applyFont="1"/>
    <xf numFmtId="0" fontId="8" fillId="0" borderId="3" xfId="0" applyFont="1" applyBorder="1"/>
    <xf numFmtId="0" fontId="80" fillId="0" borderId="60" xfId="0" applyFont="1" applyBorder="1"/>
    <xf numFmtId="176" fontId="80" fillId="0" borderId="60" xfId="0" applyNumberFormat="1" applyFont="1" applyBorder="1"/>
    <xf numFmtId="0" fontId="80" fillId="0" borderId="0" xfId="0" applyFont="1"/>
    <xf numFmtId="0" fontId="18" fillId="0" borderId="0" xfId="0" applyFont="1"/>
    <xf numFmtId="0" fontId="14" fillId="0" borderId="7" xfId="6" applyFont="1" applyBorder="1" applyAlignment="1">
      <alignment vertical="top" wrapText="1"/>
    </xf>
    <xf numFmtId="166" fontId="18" fillId="0" borderId="54" xfId="6" applyNumberFormat="1" applyFont="1" applyBorder="1" applyAlignment="1">
      <alignment horizontal="left" vertical="center" wrapText="1"/>
    </xf>
    <xf numFmtId="0" fontId="14" fillId="0" borderId="5" xfId="3" applyFont="1" applyBorder="1" applyAlignment="1">
      <alignment horizontal="left" vertical="center"/>
    </xf>
  </cellXfs>
  <cellStyles count="51">
    <cellStyle name="Comma 3" xfId="21" xr:uid="{70A958A0-301A-4292-A749-EF89E952A39B}"/>
    <cellStyle name="Currency 3" xfId="20" xr:uid="{39169256-8A75-48F2-A4CC-D9FDA7442EE5}"/>
    <cellStyle name="Heading" xfId="10" xr:uid="{5AE2504D-BEFB-475D-9E72-9CD1A322ACCE}"/>
    <cellStyle name="Input 2" xfId="19" xr:uid="{AABCDBE6-4188-431A-B93B-AA179D987C32}"/>
    <cellStyle name="L Bottom Row Border" xfId="15" xr:uid="{03AE92B7-F519-4B79-B78E-D05E4A010687}"/>
    <cellStyle name="LT Center No Border" xfId="17" xr:uid="{FAC3DC3F-B306-431C-B5EA-1732228F40DA}"/>
    <cellStyle name="LT Exhibit Title" xfId="18" xr:uid="{6AF93BF3-B9F5-42A2-B3E6-0980A43610F6}"/>
    <cellStyle name="LT LB LJ Merged" xfId="16" xr:uid="{48084E5B-ABD1-4EC8-8271-7B6E069ADF01}"/>
    <cellStyle name="Normal" xfId="0" builtinId="0"/>
    <cellStyle name="Normal 10 10" xfId="36" xr:uid="{0BD7856D-A5E4-4876-A014-49D03AE799F5}"/>
    <cellStyle name="Normal 12" xfId="7" xr:uid="{A7AB8632-71AD-4F80-B9A2-982C78E670E8}"/>
    <cellStyle name="Normal 12 2" xfId="26" xr:uid="{1AA9DB9F-7FEF-4D2C-9A4A-2F27E9F25193}"/>
    <cellStyle name="Normal 12 2 2" xfId="46" xr:uid="{EC58F54D-AA72-43DE-A3C1-8E05FC6597B2}"/>
    <cellStyle name="Normal 12 3" xfId="39" xr:uid="{D0AE7B60-27FC-4527-AEB8-017F8131EC1C}"/>
    <cellStyle name="Normal 2" xfId="6" xr:uid="{D9487080-4208-4D6C-9B60-39DA68D5A068}"/>
    <cellStyle name="Normal 2 2" xfId="14" xr:uid="{E6A2169A-3E89-4F5D-A13A-32FD49AB04F5}"/>
    <cellStyle name="Normal 2 2 2" xfId="5" xr:uid="{7E91B32C-2F00-4AC2-8EA1-D2988F5A9773}"/>
    <cellStyle name="Normal 2 2 3" xfId="37" xr:uid="{FB2381A1-E44F-4D29-A484-D19FB698F38B}"/>
    <cellStyle name="Normal 2 3" xfId="2" xr:uid="{037B4B89-840B-4326-8206-E9E5BDDA4ACD}"/>
    <cellStyle name="Normal 2 3 2" xfId="28" xr:uid="{F544E209-6BA2-4F7C-8AE9-BE11CAD8D014}"/>
    <cellStyle name="Normal 3" xfId="3" xr:uid="{115557C1-D75C-483B-A94D-8F03B124F849}"/>
    <cellStyle name="Normal 3 2" xfId="29" xr:uid="{0BA5D0EB-3CDE-418D-A3A2-32C5C1B45596}"/>
    <cellStyle name="Normal 3 2 2" xfId="4" xr:uid="{4D18EC6F-3C60-48F4-8587-5DD9FDB7C3E8}"/>
    <cellStyle name="Normal 3 3" xfId="30" xr:uid="{649BBAB4-743C-41BB-8648-5EFF7673E7DA}"/>
    <cellStyle name="Normal 4" xfId="9" xr:uid="{1F11887A-E854-426B-AD59-BC9BCCE84F10}"/>
    <cellStyle name="Normal 4 2" xfId="35" xr:uid="{E51ACEBE-42BC-4959-AABD-CDE1797049DD}"/>
    <cellStyle name="Normal 5" xfId="11" xr:uid="{DCEC7A6A-DE13-4B25-BEAD-35B1665ED1F1}"/>
    <cellStyle name="Normal 5 2" xfId="24" xr:uid="{0EF9479B-F3E1-4E24-BE93-2729C6B10CE7}"/>
    <cellStyle name="Normal 5 2 2" xfId="27" xr:uid="{06F5138F-8432-46B4-83E5-1503D1C50926}"/>
    <cellStyle name="Normal 5 2 2 2" xfId="47" xr:uid="{875C6DC1-0906-4495-8BB6-33DA38D9ED14}"/>
    <cellStyle name="Normal 5 2 3" xfId="31" xr:uid="{BA147431-7100-472D-90F0-E5FEB5C564E6}"/>
    <cellStyle name="Normal 5 2 3 2" xfId="48" xr:uid="{97CB8213-5E4F-4802-833E-1AD7D3CAA97B}"/>
    <cellStyle name="Normal 5 2 4" xfId="45" xr:uid="{28318ED1-D661-4A9F-8028-1CBB39C99139}"/>
    <cellStyle name="Normal 5 3" xfId="25" xr:uid="{E7B9EEA1-28FD-4CF5-BC6B-1646109A0F93}"/>
    <cellStyle name="Normal 6" xfId="12" xr:uid="{61332457-06D4-4AC2-B105-192E2ED64C07}"/>
    <cellStyle name="Normal 6 2" xfId="41" xr:uid="{D5535B9C-80D0-4A4B-AAB6-F9EF821449CF}"/>
    <cellStyle name="Normal 7" xfId="22" xr:uid="{A85AFC94-1312-4D79-A45C-D1EDD4031AB9}"/>
    <cellStyle name="Normal 7 2" xfId="32" xr:uid="{B2E9C2C1-579E-4AD1-8BA1-354D06BE396B}"/>
    <cellStyle name="Normal 7 3" xfId="43" xr:uid="{E4B2D58E-AE83-4386-BC71-E8F05FA38809}"/>
    <cellStyle name="Normal 8" xfId="33" xr:uid="{6D60F2F9-8EE1-4EEB-96D8-4368600BE593}"/>
    <cellStyle name="Normal 8 2" xfId="49" xr:uid="{329B67B0-7063-43C6-9859-D168EB2AB4A4}"/>
    <cellStyle name="Normal 9 3" xfId="1" xr:uid="{30123F19-5717-402C-BD30-C63D618892EF}"/>
    <cellStyle name="Normal 9 3 2" xfId="38" xr:uid="{92F9D056-4995-49F2-96B9-D06D777D3125}"/>
    <cellStyle name="Percent 2" xfId="8" xr:uid="{55A36BC1-3310-488C-AB81-758D91E0F723}"/>
    <cellStyle name="Percent 2 2" xfId="40" xr:uid="{F08E946B-BC5C-46E4-8E98-429726037F0C}"/>
    <cellStyle name="Percent 3" xfId="13" xr:uid="{F6191D2B-B509-49FB-B1D7-B1C0E5BB0FEF}"/>
    <cellStyle name="Percent 3 2" xfId="42" xr:uid="{2E273417-7F15-4D20-9636-AAC93412C3A7}"/>
    <cellStyle name="Percent 4" xfId="23" xr:uid="{20722293-DFC4-4E4D-8A8F-DD1AE07D304D}"/>
    <cellStyle name="Percent 4 2" xfId="44" xr:uid="{1E5E6A85-8B32-4C34-BB91-84E6329610EF}"/>
    <cellStyle name="Percent 5" xfId="34" xr:uid="{61FD1C88-8634-42A7-88A4-0F814D2C8810}"/>
    <cellStyle name="Percent 5 2" xfId="50" xr:uid="{DFEA390C-54B7-4290-A5A5-94DCAA38FC3D}"/>
  </cellStyles>
  <dxfs count="356">
    <dxf>
      <font>
        <b/>
        <i val="0"/>
        <color rgb="FF00B050"/>
      </font>
      <fill>
        <patternFill patternType="none">
          <bgColor auto="1"/>
        </patternFill>
      </fill>
    </dxf>
    <dxf>
      <font>
        <b/>
        <i val="0"/>
        <color rgb="FF00B050"/>
      </font>
      <fill>
        <patternFill patternType="none">
          <bgColor auto="1"/>
        </patternFill>
      </fill>
    </dxf>
    <dxf>
      <fill>
        <patternFill>
          <bgColor theme="0" tint="-4.9989318521683403E-2"/>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indexed="17"/>
      </font>
    </dxf>
    <dxf>
      <font>
        <color indexed="19"/>
      </font>
    </dxf>
    <dxf>
      <font>
        <color indexed="10"/>
      </font>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indexed="17"/>
      </font>
    </dxf>
    <dxf>
      <font>
        <color indexed="19"/>
      </font>
    </dxf>
    <dxf>
      <font>
        <color indexed="10"/>
      </font>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indexed="17"/>
      </font>
    </dxf>
    <dxf>
      <font>
        <color indexed="19"/>
      </font>
    </dxf>
    <dxf>
      <font>
        <color indexed="10"/>
      </font>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ill>
        <patternFill>
          <bgColor theme="2" tint="0.59996337778862885"/>
        </patternFill>
      </fill>
    </dxf>
    <dxf>
      <fill>
        <patternFill>
          <bgColor theme="7" tint="0.59996337778862885"/>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indexed="17"/>
      </font>
    </dxf>
    <dxf>
      <font>
        <color indexed="19"/>
      </font>
    </dxf>
    <dxf>
      <font>
        <color indexed="10"/>
      </font>
    </dxf>
    <dxf>
      <font>
        <b/>
        <i val="0"/>
        <color rgb="FFC00000"/>
      </font>
      <fill>
        <patternFill patternType="none">
          <bgColor auto="1"/>
        </patternFill>
      </fill>
    </dxf>
    <dxf>
      <font>
        <b/>
        <i val="0"/>
        <color rgb="FFC00000"/>
      </font>
      <fill>
        <patternFill patternType="none">
          <bgColor auto="1"/>
        </patternFill>
      </fill>
    </dxf>
    <dxf>
      <fill>
        <patternFill>
          <bgColor theme="2" tint="0.59996337778862885"/>
        </patternFill>
      </fill>
    </dxf>
    <dxf>
      <fill>
        <patternFill>
          <bgColor theme="7" tint="0.59996337778862885"/>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indexed="17"/>
      </font>
    </dxf>
    <dxf>
      <font>
        <color indexed="19"/>
      </font>
    </dxf>
    <dxf>
      <font>
        <color indexed="10"/>
      </font>
    </dxf>
    <dxf>
      <font>
        <b/>
        <i val="0"/>
        <color rgb="FFC00000"/>
      </font>
      <fill>
        <patternFill patternType="none">
          <bgColor auto="1"/>
        </patternFill>
      </fill>
    </dxf>
    <dxf>
      <font>
        <b/>
        <i val="0"/>
        <color rgb="FFC00000"/>
      </font>
      <fill>
        <patternFill patternType="none">
          <bgColor auto="1"/>
        </patternFill>
      </fill>
    </dxf>
    <dxf>
      <fill>
        <patternFill>
          <bgColor theme="2" tint="0.59996337778862885"/>
        </patternFill>
      </fill>
    </dxf>
    <dxf>
      <fill>
        <patternFill>
          <bgColor theme="7" tint="0.59996337778862885"/>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indexed="17"/>
      </font>
    </dxf>
    <dxf>
      <font>
        <color indexed="19"/>
      </font>
    </dxf>
    <dxf>
      <font>
        <color indexed="10"/>
      </font>
    </dxf>
    <dxf>
      <font>
        <b/>
        <i val="0"/>
        <color rgb="FFC00000"/>
      </font>
      <fill>
        <patternFill patternType="none">
          <bgColor auto="1"/>
        </patternFill>
      </fill>
    </dxf>
    <dxf>
      <font>
        <b/>
        <i val="0"/>
        <color rgb="FFC00000"/>
      </font>
      <fill>
        <patternFill patternType="none">
          <bgColor auto="1"/>
        </patternFill>
      </fill>
    </dxf>
    <dxf>
      <fill>
        <patternFill>
          <bgColor theme="2" tint="0.59996337778862885"/>
        </patternFill>
      </fill>
    </dxf>
    <dxf>
      <fill>
        <patternFill>
          <bgColor theme="7" tint="0.59996337778862885"/>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indexed="17"/>
      </font>
    </dxf>
    <dxf>
      <font>
        <color indexed="19"/>
      </font>
    </dxf>
    <dxf>
      <font>
        <color indexed="10"/>
      </font>
    </dxf>
    <dxf>
      <font>
        <b/>
        <i val="0"/>
        <color rgb="FFC00000"/>
      </font>
      <fill>
        <patternFill patternType="none">
          <bgColor auto="1"/>
        </patternFill>
      </fill>
    </dxf>
    <dxf>
      <font>
        <b/>
        <i val="0"/>
        <color rgb="FFC00000"/>
      </font>
      <fill>
        <patternFill patternType="none">
          <bgColor auto="1"/>
        </patternFill>
      </fill>
    </dxf>
    <dxf>
      <fill>
        <patternFill>
          <bgColor theme="2" tint="0.59996337778862885"/>
        </patternFill>
      </fill>
    </dxf>
    <dxf>
      <fill>
        <patternFill>
          <bgColor theme="7" tint="0.59996337778862885"/>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ill>
        <patternFill>
          <bgColor theme="2" tint="0.59996337778862885"/>
        </patternFill>
      </fill>
    </dxf>
    <dxf>
      <fill>
        <patternFill>
          <bgColor theme="7" tint="0.59996337778862885"/>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theme="0" tint="-0.499984740745262"/>
        </patternFill>
      </fill>
    </dxf>
    <dxf>
      <fill>
        <patternFill>
          <bgColor rgb="FFFFFF00"/>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
      <font>
        <color theme="9"/>
      </font>
      <fill>
        <patternFill>
          <bgColor theme="9" tint="0.79998168889431442"/>
        </patternFill>
      </fill>
    </dxf>
    <dxf>
      <font>
        <color rgb="FF9C0006"/>
      </font>
      <fill>
        <patternFill>
          <bgColor rgb="FFFFC7CE"/>
        </patternFill>
      </fill>
    </dxf>
    <dxf>
      <font>
        <color auto="1"/>
      </font>
      <fill>
        <patternFill>
          <bgColor theme="0" tint="-0.14996795556505021"/>
        </patternFill>
      </fill>
    </dxf>
    <dxf>
      <fill>
        <patternFill>
          <bgColor theme="7" tint="0.79998168889431442"/>
        </patternFill>
      </fill>
    </dxf>
    <dxf>
      <fill>
        <patternFill>
          <bgColor rgb="FF99FFCC"/>
        </patternFill>
      </fill>
    </dxf>
    <dxf>
      <font>
        <b/>
        <i val="0"/>
      </font>
      <fill>
        <patternFill>
          <bgColor rgb="FFFFFFCC"/>
        </patternFill>
      </fill>
    </dxf>
    <dxf>
      <font>
        <b/>
        <i val="0"/>
        <color theme="3"/>
      </font>
      <fill>
        <patternFill>
          <bgColor theme="3" tint="0.79998168889431442"/>
        </patternFill>
      </fill>
    </dxf>
    <dxf>
      <font>
        <color rgb="FF9C6500"/>
      </font>
      <fill>
        <patternFill>
          <bgColor rgb="FFFFEB9C"/>
        </patternFill>
      </fill>
    </dxf>
    <dxf>
      <font>
        <color rgb="FF006100"/>
      </font>
      <fill>
        <patternFill>
          <bgColor rgb="FFC6EFCE"/>
        </patternFill>
      </fill>
    </dxf>
    <dxf>
      <font>
        <b/>
        <i val="0"/>
        <color rgb="FFC00000"/>
      </font>
      <fill>
        <patternFill patternType="none">
          <bgColor auto="1"/>
        </patternFill>
      </fill>
    </dxf>
    <dxf>
      <font>
        <b/>
        <i val="0"/>
        <color rgb="FFC000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254000</xdr:colOff>
      <xdr:row>9</xdr:row>
      <xdr:rowOff>0</xdr:rowOff>
    </xdr:from>
    <xdr:ext cx="6057900" cy="3441700"/>
    <xdr:pic>
      <xdr:nvPicPr>
        <xdr:cNvPr id="2" name="DraftImg" hidden="1">
          <a:extLst>
            <a:ext uri="{FF2B5EF4-FFF2-40B4-BE49-F238E27FC236}">
              <a16:creationId xmlns:a16="http://schemas.microsoft.com/office/drawing/2014/main" id="{2F39CE12-CF33-41FB-9E82-C4C7951FEB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63850" y="1670050"/>
          <a:ext cx="6057900" cy="34417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5</xdr:col>
      <xdr:colOff>254000</xdr:colOff>
      <xdr:row>9</xdr:row>
      <xdr:rowOff>0</xdr:rowOff>
    </xdr:from>
    <xdr:ext cx="6057900" cy="3441700"/>
    <xdr:pic>
      <xdr:nvPicPr>
        <xdr:cNvPr id="2" name="DraftImg" hidden="1">
          <a:extLst>
            <a:ext uri="{FF2B5EF4-FFF2-40B4-BE49-F238E27FC236}">
              <a16:creationId xmlns:a16="http://schemas.microsoft.com/office/drawing/2014/main" id="{85749306-4C57-4577-9FB5-40A37B1602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8725" y="1466850"/>
          <a:ext cx="6057900" cy="34417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254000</xdr:colOff>
      <xdr:row>9</xdr:row>
      <xdr:rowOff>0</xdr:rowOff>
    </xdr:from>
    <xdr:ext cx="6057900" cy="3441700"/>
    <xdr:pic>
      <xdr:nvPicPr>
        <xdr:cNvPr id="2" name="DraftImg" hidden="1">
          <a:extLst>
            <a:ext uri="{FF2B5EF4-FFF2-40B4-BE49-F238E27FC236}">
              <a16:creationId xmlns:a16="http://schemas.microsoft.com/office/drawing/2014/main" id="{B96F4A9D-CB50-49FE-9134-E0B4BF77F5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63850" y="1670050"/>
          <a:ext cx="6057900" cy="3441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481352</xdr:colOff>
      <xdr:row>14</xdr:row>
      <xdr:rowOff>12111</xdr:rowOff>
    </xdr:to>
    <xdr:pic>
      <xdr:nvPicPr>
        <xdr:cNvPr id="2" name="Picture 1">
          <a:extLst>
            <a:ext uri="{FF2B5EF4-FFF2-40B4-BE49-F238E27FC236}">
              <a16:creationId xmlns:a16="http://schemas.microsoft.com/office/drawing/2014/main" id="{0A4E968A-3F36-412F-8533-A72F06012B2B}"/>
            </a:ext>
          </a:extLst>
        </xdr:cNvPr>
        <xdr:cNvPicPr>
          <a:picLocks noChangeAspect="1"/>
        </xdr:cNvPicPr>
      </xdr:nvPicPr>
      <xdr:blipFill>
        <a:blip xmlns:r="http://schemas.openxmlformats.org/officeDocument/2006/relationships" r:embed="rId1"/>
        <a:stretch>
          <a:fillRect/>
        </a:stretch>
      </xdr:blipFill>
      <xdr:spPr>
        <a:xfrm>
          <a:off x="638175" y="323850"/>
          <a:ext cx="6863102" cy="19552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254000</xdr:colOff>
      <xdr:row>9</xdr:row>
      <xdr:rowOff>0</xdr:rowOff>
    </xdr:from>
    <xdr:ext cx="6057900" cy="3441700"/>
    <xdr:pic>
      <xdr:nvPicPr>
        <xdr:cNvPr id="2" name="DraftImg" hidden="1">
          <a:extLst>
            <a:ext uri="{FF2B5EF4-FFF2-40B4-BE49-F238E27FC236}">
              <a16:creationId xmlns:a16="http://schemas.microsoft.com/office/drawing/2014/main" id="{D848B735-A7A7-47D9-B815-06A424E332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86075" y="1746250"/>
          <a:ext cx="6057900" cy="3441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5</xdr:col>
      <xdr:colOff>254000</xdr:colOff>
      <xdr:row>9</xdr:row>
      <xdr:rowOff>0</xdr:rowOff>
    </xdr:from>
    <xdr:ext cx="6057900" cy="3441700"/>
    <xdr:pic>
      <xdr:nvPicPr>
        <xdr:cNvPr id="2" name="DraftImg" hidden="1">
          <a:extLst>
            <a:ext uri="{FF2B5EF4-FFF2-40B4-BE49-F238E27FC236}">
              <a16:creationId xmlns:a16="http://schemas.microsoft.com/office/drawing/2014/main" id="{99BC3E29-9D88-4B29-8606-030A550D48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63850" y="1670050"/>
          <a:ext cx="6057900" cy="3441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5</xdr:col>
      <xdr:colOff>254000</xdr:colOff>
      <xdr:row>9</xdr:row>
      <xdr:rowOff>0</xdr:rowOff>
    </xdr:from>
    <xdr:ext cx="6057900" cy="3441700"/>
    <xdr:pic>
      <xdr:nvPicPr>
        <xdr:cNvPr id="2" name="DraftImg" hidden="1">
          <a:extLst>
            <a:ext uri="{FF2B5EF4-FFF2-40B4-BE49-F238E27FC236}">
              <a16:creationId xmlns:a16="http://schemas.microsoft.com/office/drawing/2014/main" id="{25D8BC52-BE04-473F-8957-7612D735D2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63850" y="1670050"/>
          <a:ext cx="6057900" cy="3441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0</xdr:col>
      <xdr:colOff>57150</xdr:colOff>
      <xdr:row>2</xdr:row>
      <xdr:rowOff>66675</xdr:rowOff>
    </xdr:from>
    <xdr:to>
      <xdr:col>0</xdr:col>
      <xdr:colOff>313055</xdr:colOff>
      <xdr:row>2</xdr:row>
      <xdr:rowOff>66675</xdr:rowOff>
    </xdr:to>
    <xdr:cxnSp macro="">
      <xdr:nvCxnSpPr>
        <xdr:cNvPr id="2" name="Line 3">
          <a:extLst>
            <a:ext uri="{FF2B5EF4-FFF2-40B4-BE49-F238E27FC236}">
              <a16:creationId xmlns:a16="http://schemas.microsoft.com/office/drawing/2014/main" id="{F8FFA13E-D965-43A3-A6DA-88DC187C4FAF}"/>
            </a:ext>
          </a:extLst>
        </xdr:cNvPr>
        <xdr:cNvCxnSpPr>
          <a:cxnSpLocks noChangeShapeType="1"/>
        </xdr:cNvCxnSpPr>
      </xdr:nvCxnSpPr>
      <xdr:spPr bwMode="auto">
        <a:xfrm>
          <a:off x="57150" y="561975"/>
          <a:ext cx="189230" cy="0"/>
        </a:xfrm>
        <a:prstGeom prst="line">
          <a:avLst/>
        </a:prstGeom>
        <a:noFill/>
        <a:ln w="31750">
          <a:solidFill>
            <a:srgbClr val="00AEEF"/>
          </a:solidFill>
          <a:prstDash val="solid"/>
          <a:round/>
          <a:headEnd/>
          <a:tailEnd/>
        </a:ln>
        <a:extLst>
          <a:ext uri="{909E8E84-426E-40DD-AFC4-6F175D3DCCD1}">
            <a14:hiddenFill xmlns:a14="http://schemas.microsoft.com/office/drawing/2010/main">
              <a:noFill/>
            </a14:hiddenFill>
          </a:ext>
        </a:extLst>
      </xdr:spPr>
    </xdr:cxnSp>
    <xdr:clientData/>
  </xdr:twoCellAnchor>
  <xdr:oneCellAnchor>
    <xdr:from>
      <xdr:col>24</xdr:col>
      <xdr:colOff>0</xdr:colOff>
      <xdr:row>0</xdr:row>
      <xdr:rowOff>0</xdr:rowOff>
    </xdr:from>
    <xdr:ext cx="1514180" cy="869411"/>
    <xdr:pic>
      <xdr:nvPicPr>
        <xdr:cNvPr id="3" name="Picture 2">
          <a:extLst>
            <a:ext uri="{FF2B5EF4-FFF2-40B4-BE49-F238E27FC236}">
              <a16:creationId xmlns:a16="http://schemas.microsoft.com/office/drawing/2014/main" id="{88908B8E-66BD-4F8D-8289-D25B0052EC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45625" y="0"/>
          <a:ext cx="1514180" cy="869411"/>
        </a:xfrm>
        <a:prstGeom prst="rect">
          <a:avLst/>
        </a:prstGeom>
      </xdr:spPr>
    </xdr:pic>
    <xdr:clientData/>
  </xdr:oneCellAnchor>
  <xdr:twoCellAnchor>
    <xdr:from>
      <xdr:col>0</xdr:col>
      <xdr:colOff>57150</xdr:colOff>
      <xdr:row>2</xdr:row>
      <xdr:rowOff>66675</xdr:rowOff>
    </xdr:from>
    <xdr:to>
      <xdr:col>0</xdr:col>
      <xdr:colOff>313055</xdr:colOff>
      <xdr:row>2</xdr:row>
      <xdr:rowOff>66675</xdr:rowOff>
    </xdr:to>
    <xdr:cxnSp macro="">
      <xdr:nvCxnSpPr>
        <xdr:cNvPr id="4" name="Line 3">
          <a:extLst>
            <a:ext uri="{FF2B5EF4-FFF2-40B4-BE49-F238E27FC236}">
              <a16:creationId xmlns:a16="http://schemas.microsoft.com/office/drawing/2014/main" id="{6D640ABE-4F63-4830-8F42-6BA9FDBC319E}"/>
            </a:ext>
          </a:extLst>
        </xdr:cNvPr>
        <xdr:cNvCxnSpPr>
          <a:cxnSpLocks noChangeShapeType="1"/>
        </xdr:cNvCxnSpPr>
      </xdr:nvCxnSpPr>
      <xdr:spPr bwMode="auto">
        <a:xfrm>
          <a:off x="57150" y="561975"/>
          <a:ext cx="189230" cy="0"/>
        </a:xfrm>
        <a:prstGeom prst="line">
          <a:avLst/>
        </a:prstGeom>
        <a:noFill/>
        <a:ln w="31750">
          <a:solidFill>
            <a:srgbClr val="00AEEF"/>
          </a:solidFill>
          <a:prstDash val="solid"/>
          <a:round/>
          <a:headEnd/>
          <a:tailEnd/>
        </a:ln>
        <a:extLst>
          <a:ext uri="{909E8E84-426E-40DD-AFC4-6F175D3DCCD1}">
            <a14:hiddenFill xmlns:a14="http://schemas.microsoft.com/office/drawing/2010/main">
              <a:noFill/>
            </a14:hiddenFill>
          </a:ext>
        </a:extLst>
      </xdr:spPr>
    </xdr:cxnSp>
    <xdr:clientData/>
  </xdr:twoCellAnchor>
  <xdr:oneCellAnchor>
    <xdr:from>
      <xdr:col>45</xdr:col>
      <xdr:colOff>0</xdr:colOff>
      <xdr:row>0</xdr:row>
      <xdr:rowOff>0</xdr:rowOff>
    </xdr:from>
    <xdr:ext cx="1511281" cy="869411"/>
    <xdr:pic>
      <xdr:nvPicPr>
        <xdr:cNvPr id="5" name="Picture 4">
          <a:extLst>
            <a:ext uri="{FF2B5EF4-FFF2-40B4-BE49-F238E27FC236}">
              <a16:creationId xmlns:a16="http://schemas.microsoft.com/office/drawing/2014/main" id="{E4738D86-3FF9-4027-8859-30E403F5C9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205275" y="0"/>
          <a:ext cx="1511281" cy="869411"/>
        </a:xfrm>
        <a:prstGeom prst="rect">
          <a:avLst/>
        </a:prstGeom>
      </xdr:spPr>
    </xdr:pic>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6DF1AAC-9DE9-4794-B75E-7C260197CB1C}"/>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89B923B-35DE-463A-A3B1-7A8AF282F05B}"/>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90E84C9-40F0-412A-863C-CC1F209404F5}"/>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A42E9B9-5DCC-44B1-B4DB-2F6D6DD2C4E4}"/>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04E725D-3042-4963-9BFC-4E1F427D0F0B}"/>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microsoft.com/office/2019/04/relationships/namedSheetView" Target="../namedSheetViews/namedSheetView3.xml"/><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microsoft.com/office/2019/04/relationships/namedSheetView" Target="../namedSheetViews/namedSheetView4.xml"/><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microsoft.com/office/2019/04/relationships/namedSheetView" Target="../namedSheetViews/namedSheetView5.xml"/><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F850-9E45-43FF-A8F4-1AD5584D47A7}">
  <sheetPr codeName="Sheet1">
    <tabColor theme="4"/>
    <pageSetUpPr fitToPage="1"/>
  </sheetPr>
  <dimension ref="B1:K14"/>
  <sheetViews>
    <sheetView showGridLines="0" tabSelected="1" zoomScale="70" zoomScaleNormal="70" workbookViewId="0"/>
  </sheetViews>
  <sheetFormatPr defaultColWidth="8.58203125" defaultRowHeight="12.5"/>
  <cols>
    <col min="1" max="1" width="2.33203125" style="2" customWidth="1"/>
    <col min="2" max="5" width="8.58203125" style="2"/>
    <col min="6" max="6" width="56.58203125" style="2" bestFit="1" customWidth="1"/>
    <col min="7" max="10" width="8.58203125" style="2"/>
    <col min="11" max="11" width="2.33203125" style="2" customWidth="1"/>
    <col min="12" max="16384" width="8.58203125" style="2"/>
  </cols>
  <sheetData>
    <row r="1" spans="2:11" ht="14.5">
      <c r="B1" s="1"/>
      <c r="C1" s="1"/>
      <c r="D1" s="1"/>
      <c r="E1" s="1"/>
      <c r="F1" s="1"/>
      <c r="G1" s="1"/>
    </row>
    <row r="4" spans="2:11">
      <c r="C4" s="3"/>
      <c r="D4" s="3"/>
      <c r="E4" s="3"/>
      <c r="F4" s="3"/>
      <c r="G4" s="3"/>
      <c r="H4" s="3"/>
      <c r="I4" s="3"/>
      <c r="J4" s="3"/>
      <c r="K4" s="3"/>
    </row>
    <row r="5" spans="2:11">
      <c r="B5" s="3"/>
      <c r="C5" s="3"/>
      <c r="D5" s="3"/>
      <c r="E5" s="3"/>
      <c r="F5" s="3"/>
      <c r="G5" s="3"/>
      <c r="H5" s="3"/>
      <c r="I5" s="3"/>
      <c r="J5" s="3"/>
      <c r="K5" s="3"/>
    </row>
    <row r="6" spans="2:11">
      <c r="B6" s="3"/>
      <c r="C6" s="3"/>
      <c r="D6" s="3"/>
      <c r="E6" s="3"/>
      <c r="F6" s="3"/>
      <c r="G6" s="3"/>
      <c r="H6" s="3"/>
      <c r="I6" s="3"/>
      <c r="J6" s="3"/>
      <c r="K6" s="3"/>
    </row>
    <row r="7" spans="2:11" ht="32.5">
      <c r="C7" s="3"/>
      <c r="D7" s="3"/>
      <c r="E7" s="3"/>
      <c r="F7" s="4" t="s">
        <v>0</v>
      </c>
      <c r="G7" s="3"/>
      <c r="H7" s="3"/>
      <c r="K7" s="3"/>
    </row>
    <row r="8" spans="2:11" ht="32.5">
      <c r="C8" s="3"/>
      <c r="D8" s="3"/>
      <c r="E8" s="3"/>
      <c r="F8" s="4" t="s">
        <v>1</v>
      </c>
      <c r="G8" s="3"/>
      <c r="H8" s="3"/>
      <c r="K8" s="3"/>
    </row>
    <row r="9" spans="2:11">
      <c r="B9" s="3"/>
      <c r="C9" s="3"/>
      <c r="D9" s="3"/>
      <c r="E9" s="3"/>
      <c r="F9" s="5"/>
      <c r="G9" s="3"/>
      <c r="H9" s="3"/>
      <c r="I9" s="3"/>
      <c r="J9" s="3"/>
      <c r="K9" s="3"/>
    </row>
    <row r="10" spans="2:11">
      <c r="B10" s="3"/>
      <c r="C10" s="3"/>
      <c r="D10" s="3"/>
      <c r="E10" s="3"/>
      <c r="F10" s="5">
        <f ca="1">TODAY()</f>
        <v>46108</v>
      </c>
      <c r="G10" s="3"/>
      <c r="H10" s="3"/>
      <c r="I10" s="41"/>
      <c r="J10" s="3"/>
      <c r="K10" s="3"/>
    </row>
    <row r="11" spans="2:11" ht="14">
      <c r="B11" s="3"/>
      <c r="C11" s="3"/>
      <c r="D11" s="3"/>
      <c r="E11"/>
      <c r="F11"/>
      <c r="G11"/>
      <c r="H11"/>
      <c r="I11"/>
      <c r="J11"/>
      <c r="K11"/>
    </row>
    <row r="12" spans="2:11" ht="14">
      <c r="B12" s="3"/>
      <c r="C12"/>
      <c r="D12"/>
      <c r="E12"/>
      <c r="F12"/>
      <c r="G12"/>
      <c r="H12"/>
      <c r="I12"/>
      <c r="J12"/>
      <c r="K12"/>
    </row>
    <row r="13" spans="2:11" ht="14">
      <c r="B13" s="3"/>
      <c r="C13"/>
      <c r="D13"/>
      <c r="E13"/>
      <c r="F13"/>
      <c r="G13"/>
      <c r="H13"/>
      <c r="I13"/>
      <c r="J13"/>
      <c r="K13"/>
    </row>
    <row r="14" spans="2:11" ht="14">
      <c r="B14" s="3"/>
      <c r="C14"/>
      <c r="D14"/>
      <c r="E14"/>
      <c r="F14"/>
      <c r="G14"/>
      <c r="H14"/>
      <c r="I14"/>
      <c r="J14"/>
      <c r="K14"/>
    </row>
  </sheetData>
  <pageMargins left="0.7" right="0.7" top="0.75" bottom="0.75" header="0.3" footer="0.3"/>
  <pageSetup scale="89"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3940-8C82-45B2-9055-B9162A8045DF}">
  <sheetPr codeName="Sheet2">
    <tabColor theme="4" tint="0.79998168889431442"/>
    <pageSetUpPr fitToPage="1"/>
  </sheetPr>
  <dimension ref="A2:L62"/>
  <sheetViews>
    <sheetView showGridLines="0" view="pageBreakPreview" zoomScaleNormal="70" zoomScaleSheetLayoutView="100" workbookViewId="0">
      <pane xSplit="3" ySplit="9" topLeftCell="D10" activePane="bottomRight" state="frozen"/>
      <selection pane="topRight" activeCell="D1" sqref="D1"/>
      <selection pane="bottomLeft" activeCell="A10" sqref="A1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2">
      <c r="B2" s="6" t="s">
        <v>3</v>
      </c>
      <c r="C2" s="34"/>
      <c r="D2" s="34"/>
      <c r="E2" s="7"/>
      <c r="F2" s="34"/>
      <c r="G2" s="8"/>
      <c r="H2" s="7"/>
      <c r="I2" s="9" t="s">
        <v>4</v>
      </c>
      <c r="J2" s="10" t="s">
        <v>5</v>
      </c>
      <c r="K2" s="11" t="s">
        <v>6</v>
      </c>
      <c r="L2" s="12"/>
    </row>
    <row r="3" spans="2:12">
      <c r="B3" s="7"/>
      <c r="C3" s="35"/>
      <c r="D3" s="14"/>
      <c r="E3" s="14"/>
      <c r="F3" s="14"/>
      <c r="G3" s="15"/>
      <c r="H3" s="7"/>
      <c r="I3" s="16" t="s">
        <v>7</v>
      </c>
      <c r="J3" s="17">
        <f>+COUNTIFS(K$8:K$1342,$I3)</f>
        <v>2</v>
      </c>
      <c r="K3" s="18">
        <f>J3/$J$7</f>
        <v>3.8461538461538464E-2</v>
      </c>
      <c r="L3" s="14"/>
    </row>
    <row r="4" spans="2:12">
      <c r="B4" s="6"/>
      <c r="C4" s="34"/>
      <c r="D4" s="34"/>
      <c r="E4" s="7"/>
      <c r="F4" s="34"/>
      <c r="G4" s="8"/>
      <c r="H4" s="7"/>
      <c r="I4" s="16" t="s">
        <v>8</v>
      </c>
      <c r="J4" s="17">
        <f>+COUNTIFS(K$8:K$1342,$I4)</f>
        <v>6</v>
      </c>
      <c r="K4" s="18">
        <f>J4/$J$7</f>
        <v>0.11538461538461539</v>
      </c>
      <c r="L4" s="12"/>
    </row>
    <row r="5" spans="2:12">
      <c r="B5" s="19"/>
      <c r="C5" s="19"/>
      <c r="D5" s="19"/>
      <c r="E5" s="20"/>
      <c r="F5" s="19"/>
      <c r="G5" s="21"/>
      <c r="H5" s="20"/>
      <c r="I5" s="16" t="s">
        <v>9</v>
      </c>
      <c r="J5" s="17">
        <f>+COUNTIFS(K$8:K$1342,$I5)</f>
        <v>41</v>
      </c>
      <c r="K5" s="18">
        <f>J5/$J$7</f>
        <v>0.78846153846153844</v>
      </c>
      <c r="L5" s="22"/>
    </row>
    <row r="6" spans="2:12">
      <c r="B6" s="19"/>
      <c r="C6" s="19"/>
      <c r="D6" s="19"/>
      <c r="E6" s="20"/>
      <c r="F6" s="19"/>
      <c r="G6" s="21"/>
      <c r="H6" s="20"/>
      <c r="I6" s="16" t="s">
        <v>10</v>
      </c>
      <c r="J6" s="17">
        <f>+COUNTIFS(K$8:K$1342,$I6)</f>
        <v>3</v>
      </c>
      <c r="K6" s="18">
        <f>J6/$J$7</f>
        <v>5.7692307692307696E-2</v>
      </c>
      <c r="L6" s="22"/>
    </row>
    <row r="7" spans="2:12">
      <c r="B7" s="19"/>
      <c r="C7" s="19"/>
      <c r="D7" s="19"/>
      <c r="E7" s="20"/>
      <c r="F7" s="19"/>
      <c r="G7" s="21"/>
      <c r="H7" s="20"/>
      <c r="I7" s="16" t="s">
        <v>11</v>
      </c>
      <c r="J7" s="23">
        <f>+SUM(J3:J6)</f>
        <v>52</v>
      </c>
      <c r="K7" s="24">
        <f>+SUM(K3:K6)</f>
        <v>1</v>
      </c>
      <c r="L7" s="22"/>
    </row>
    <row r="8" spans="2:12">
      <c r="B8" s="19"/>
      <c r="C8" s="19"/>
      <c r="D8" s="19"/>
      <c r="E8" s="20"/>
      <c r="F8" s="19"/>
      <c r="G8" s="21"/>
      <c r="H8" s="15"/>
      <c r="I8" s="7"/>
      <c r="J8" s="43">
        <f>MAX(B:B)-J7</f>
        <v>0</v>
      </c>
      <c r="K8" s="22"/>
      <c r="L8" s="22"/>
    </row>
    <row r="9" spans="2:12" ht="26">
      <c r="B9" s="25" t="s">
        <v>12</v>
      </c>
      <c r="C9" s="25" t="s">
        <v>13</v>
      </c>
      <c r="D9" s="26" t="s">
        <v>14</v>
      </c>
      <c r="E9" s="26" t="s">
        <v>15</v>
      </c>
      <c r="F9" s="25" t="s">
        <v>16</v>
      </c>
      <c r="G9" s="25" t="s">
        <v>17</v>
      </c>
      <c r="H9" s="26" t="s">
        <v>18</v>
      </c>
      <c r="I9" s="25" t="s">
        <v>19</v>
      </c>
      <c r="J9" s="25" t="s">
        <v>20</v>
      </c>
      <c r="K9" s="25" t="s">
        <v>4</v>
      </c>
      <c r="L9" s="26" t="s">
        <v>21</v>
      </c>
    </row>
    <row r="10" spans="2:12" ht="52">
      <c r="B10" s="46">
        <v>1</v>
      </c>
      <c r="C10" s="45" t="s">
        <v>22</v>
      </c>
      <c r="D10" s="38">
        <v>46057</v>
      </c>
      <c r="E10" s="36">
        <v>46052</v>
      </c>
      <c r="F10" s="37" t="s">
        <v>23</v>
      </c>
      <c r="G10" s="30" t="s">
        <v>24</v>
      </c>
      <c r="H10" s="27"/>
      <c r="I10" s="40" t="s">
        <v>25</v>
      </c>
      <c r="J10" s="31" t="s">
        <v>26</v>
      </c>
      <c r="K10" s="146" t="s">
        <v>9</v>
      </c>
      <c r="L10" s="31" t="s">
        <v>27</v>
      </c>
    </row>
    <row r="11" spans="2:12" ht="52">
      <c r="B11" s="46">
        <f>B10+1</f>
        <v>2</v>
      </c>
      <c r="C11" s="45" t="s">
        <v>22</v>
      </c>
      <c r="D11" s="38">
        <v>46057</v>
      </c>
      <c r="E11" s="36">
        <v>46060</v>
      </c>
      <c r="F11" s="37" t="s">
        <v>28</v>
      </c>
      <c r="G11" s="30" t="s">
        <v>29</v>
      </c>
      <c r="H11" s="28" t="s">
        <v>30</v>
      </c>
      <c r="I11" s="40" t="s">
        <v>31</v>
      </c>
      <c r="J11" s="31" t="s">
        <v>26</v>
      </c>
      <c r="K11" s="146" t="s">
        <v>9</v>
      </c>
      <c r="L11" s="31" t="s">
        <v>32</v>
      </c>
    </row>
    <row r="12" spans="2:12" ht="78" customHeight="1">
      <c r="B12" s="46">
        <f t="shared" ref="B12:B22" si="0">B11+1</f>
        <v>3</v>
      </c>
      <c r="C12" s="45" t="s">
        <v>22</v>
      </c>
      <c r="D12" s="38">
        <v>46057</v>
      </c>
      <c r="E12" s="36">
        <v>46090</v>
      </c>
      <c r="F12" s="37" t="s">
        <v>28</v>
      </c>
      <c r="G12" s="30" t="s">
        <v>33</v>
      </c>
      <c r="H12" s="27"/>
      <c r="I12" s="40" t="s">
        <v>34</v>
      </c>
      <c r="J12" s="31" t="s">
        <v>26</v>
      </c>
      <c r="K12" s="146" t="s">
        <v>9</v>
      </c>
      <c r="L12" s="31"/>
    </row>
    <row r="13" spans="2:12" ht="39">
      <c r="B13" s="46">
        <f t="shared" si="0"/>
        <v>4</v>
      </c>
      <c r="C13" s="45" t="s">
        <v>22</v>
      </c>
      <c r="D13" s="38">
        <v>46057</v>
      </c>
      <c r="E13" s="36">
        <v>46090</v>
      </c>
      <c r="F13" s="37" t="s">
        <v>23</v>
      </c>
      <c r="G13" s="30" t="s">
        <v>35</v>
      </c>
      <c r="H13" s="27"/>
      <c r="I13" s="40" t="s">
        <v>36</v>
      </c>
      <c r="J13" s="31" t="s">
        <v>26</v>
      </c>
      <c r="K13" s="146" t="s">
        <v>9</v>
      </c>
      <c r="L13" s="31"/>
    </row>
    <row r="14" spans="2:12" ht="26">
      <c r="B14" s="46">
        <f t="shared" si="0"/>
        <v>5</v>
      </c>
      <c r="C14" s="45" t="s">
        <v>22</v>
      </c>
      <c r="D14" s="38">
        <v>46057</v>
      </c>
      <c r="E14" s="36">
        <v>46056</v>
      </c>
      <c r="F14" s="37" t="s">
        <v>23</v>
      </c>
      <c r="G14" s="30" t="s">
        <v>37</v>
      </c>
      <c r="H14" s="27"/>
      <c r="I14" s="40" t="s">
        <v>38</v>
      </c>
      <c r="J14" s="31" t="s">
        <v>26</v>
      </c>
      <c r="K14" s="146" t="s">
        <v>9</v>
      </c>
      <c r="L14" s="31"/>
    </row>
    <row r="15" spans="2:12" ht="78">
      <c r="B15" s="46">
        <f t="shared" si="0"/>
        <v>6</v>
      </c>
      <c r="C15" s="45" t="s">
        <v>22</v>
      </c>
      <c r="D15" s="38">
        <v>46057</v>
      </c>
      <c r="E15" s="36">
        <v>46056</v>
      </c>
      <c r="F15" s="37" t="s">
        <v>39</v>
      </c>
      <c r="G15" s="30" t="s">
        <v>40</v>
      </c>
      <c r="H15" s="28" t="s">
        <v>41</v>
      </c>
      <c r="I15" s="40" t="s">
        <v>42</v>
      </c>
      <c r="J15" s="31" t="s">
        <v>26</v>
      </c>
      <c r="K15" s="146" t="s">
        <v>9</v>
      </c>
      <c r="L15" s="31" t="s">
        <v>43</v>
      </c>
    </row>
    <row r="16" spans="2:12" ht="117">
      <c r="B16" s="46">
        <f t="shared" si="0"/>
        <v>7</v>
      </c>
      <c r="C16" s="45" t="s">
        <v>22</v>
      </c>
      <c r="D16" s="38">
        <v>46057</v>
      </c>
      <c r="E16" s="36">
        <v>46098</v>
      </c>
      <c r="F16" s="37" t="s">
        <v>28</v>
      </c>
      <c r="G16" s="30" t="s">
        <v>44</v>
      </c>
      <c r="H16" s="27"/>
      <c r="I16" s="40" t="s">
        <v>45</v>
      </c>
      <c r="J16" s="31" t="s">
        <v>26</v>
      </c>
      <c r="K16" s="146" t="s">
        <v>9</v>
      </c>
      <c r="L16" s="31"/>
    </row>
    <row r="17" spans="2:12">
      <c r="B17" s="46">
        <f t="shared" si="0"/>
        <v>8</v>
      </c>
      <c r="C17" s="45" t="s">
        <v>22</v>
      </c>
      <c r="D17" s="38">
        <v>46057</v>
      </c>
      <c r="E17" s="36">
        <v>46092</v>
      </c>
      <c r="F17" s="37" t="s">
        <v>23</v>
      </c>
      <c r="G17" s="30" t="s">
        <v>46</v>
      </c>
      <c r="H17" s="27"/>
      <c r="I17" s="44" t="s">
        <v>47</v>
      </c>
      <c r="J17" s="31" t="s">
        <v>26</v>
      </c>
      <c r="K17" s="146" t="s">
        <v>9</v>
      </c>
      <c r="L17" s="31" t="s">
        <v>48</v>
      </c>
    </row>
    <row r="18" spans="2:12" ht="143">
      <c r="B18" s="46">
        <f t="shared" si="0"/>
        <v>9</v>
      </c>
      <c r="C18" s="45" t="s">
        <v>22</v>
      </c>
      <c r="D18" s="38">
        <v>46057</v>
      </c>
      <c r="E18" s="36">
        <v>46059</v>
      </c>
      <c r="F18" s="37" t="s">
        <v>23</v>
      </c>
      <c r="G18" s="30" t="s">
        <v>49</v>
      </c>
      <c r="H18" s="28" t="s">
        <v>50</v>
      </c>
      <c r="I18" s="40" t="s">
        <v>51</v>
      </c>
      <c r="J18" s="31" t="s">
        <v>26</v>
      </c>
      <c r="K18" s="146" t="s">
        <v>9</v>
      </c>
      <c r="L18" s="31" t="s">
        <v>52</v>
      </c>
    </row>
    <row r="19" spans="2:12" ht="39">
      <c r="B19" s="46">
        <f t="shared" si="0"/>
        <v>10</v>
      </c>
      <c r="C19" s="45" t="s">
        <v>22</v>
      </c>
      <c r="D19" s="38">
        <v>46057</v>
      </c>
      <c r="E19" s="36">
        <v>46055</v>
      </c>
      <c r="F19" s="37" t="s">
        <v>23</v>
      </c>
      <c r="G19" s="30" t="s">
        <v>53</v>
      </c>
      <c r="H19" s="28" t="s">
        <v>54</v>
      </c>
      <c r="I19" s="40" t="s">
        <v>55</v>
      </c>
      <c r="J19" s="31" t="s">
        <v>26</v>
      </c>
      <c r="K19" s="146" t="s">
        <v>8</v>
      </c>
      <c r="L19" s="31" t="s">
        <v>32</v>
      </c>
    </row>
    <row r="20" spans="2:12" ht="39">
      <c r="B20" s="46">
        <f t="shared" si="0"/>
        <v>11</v>
      </c>
      <c r="C20" s="45" t="s">
        <v>22</v>
      </c>
      <c r="D20" s="38">
        <v>46057</v>
      </c>
      <c r="E20" s="36">
        <v>46097</v>
      </c>
      <c r="F20" s="37" t="s">
        <v>23</v>
      </c>
      <c r="G20" s="30" t="s">
        <v>56</v>
      </c>
      <c r="H20" s="27"/>
      <c r="I20" s="44" t="s">
        <v>57</v>
      </c>
      <c r="J20" s="31" t="s">
        <v>26</v>
      </c>
      <c r="K20" s="146" t="s">
        <v>9</v>
      </c>
      <c r="L20" s="31" t="s">
        <v>58</v>
      </c>
    </row>
    <row r="21" spans="2:12" ht="78">
      <c r="B21" s="46">
        <f t="shared" si="0"/>
        <v>12</v>
      </c>
      <c r="C21" s="45" t="s">
        <v>22</v>
      </c>
      <c r="D21" s="38">
        <v>46057</v>
      </c>
      <c r="E21" s="36">
        <v>46092</v>
      </c>
      <c r="F21" s="37" t="s">
        <v>23</v>
      </c>
      <c r="G21" s="30" t="s">
        <v>59</v>
      </c>
      <c r="H21" s="27"/>
      <c r="I21" s="40" t="s">
        <v>60</v>
      </c>
      <c r="J21" s="31" t="s">
        <v>26</v>
      </c>
      <c r="K21" s="146" t="s">
        <v>9</v>
      </c>
      <c r="L21" s="31"/>
    </row>
    <row r="22" spans="2:12" ht="26">
      <c r="B22" s="46">
        <f t="shared" si="0"/>
        <v>13</v>
      </c>
      <c r="C22" s="45" t="s">
        <v>22</v>
      </c>
      <c r="D22" s="38">
        <v>46089</v>
      </c>
      <c r="E22" s="36">
        <v>46092</v>
      </c>
      <c r="F22" s="37" t="s">
        <v>23</v>
      </c>
      <c r="G22" s="30" t="s">
        <v>61</v>
      </c>
      <c r="H22" s="27"/>
      <c r="I22" s="40" t="s">
        <v>62</v>
      </c>
      <c r="J22" s="31" t="s">
        <v>26</v>
      </c>
      <c r="K22" s="146" t="s">
        <v>9</v>
      </c>
      <c r="L22" s="31"/>
    </row>
    <row r="23" spans="2:12" ht="104">
      <c r="B23" s="46">
        <f t="shared" ref="B23:B39" si="1">B22+1</f>
        <v>14</v>
      </c>
      <c r="C23" s="45" t="s">
        <v>22</v>
      </c>
      <c r="D23" s="38">
        <v>46089</v>
      </c>
      <c r="E23" s="36">
        <v>46092</v>
      </c>
      <c r="F23" s="37" t="s">
        <v>23</v>
      </c>
      <c r="G23" s="30" t="s">
        <v>63</v>
      </c>
      <c r="H23" s="27"/>
      <c r="I23" s="40" t="s">
        <v>64</v>
      </c>
      <c r="J23" s="31" t="s">
        <v>26</v>
      </c>
      <c r="K23" s="146" t="s">
        <v>9</v>
      </c>
      <c r="L23" s="31"/>
    </row>
    <row r="24" spans="2:12" ht="26">
      <c r="B24" s="46">
        <f t="shared" si="1"/>
        <v>15</v>
      </c>
      <c r="C24" s="45" t="s">
        <v>22</v>
      </c>
      <c r="D24" s="38">
        <v>46089</v>
      </c>
      <c r="E24" s="36">
        <v>46106</v>
      </c>
      <c r="F24" s="37" t="s">
        <v>65</v>
      </c>
      <c r="G24" s="30" t="s">
        <v>66</v>
      </c>
      <c r="H24" s="27"/>
      <c r="I24" s="40" t="s">
        <v>67</v>
      </c>
      <c r="J24" s="31" t="s">
        <v>26</v>
      </c>
      <c r="K24" s="146" t="s">
        <v>9</v>
      </c>
      <c r="L24" s="31" t="s">
        <v>68</v>
      </c>
    </row>
    <row r="25" spans="2:12">
      <c r="B25" s="46">
        <f t="shared" si="1"/>
        <v>16</v>
      </c>
      <c r="C25" s="45" t="s">
        <v>22</v>
      </c>
      <c r="D25" s="38">
        <v>46089</v>
      </c>
      <c r="E25" s="36">
        <v>46092</v>
      </c>
      <c r="F25" s="37" t="s">
        <v>23</v>
      </c>
      <c r="G25" s="30" t="s">
        <v>69</v>
      </c>
      <c r="H25" s="27"/>
      <c r="I25" s="40" t="s">
        <v>70</v>
      </c>
      <c r="J25" s="31" t="s">
        <v>26</v>
      </c>
      <c r="K25" s="146" t="s">
        <v>10</v>
      </c>
      <c r="L25" s="31"/>
    </row>
    <row r="26" spans="2:12" ht="26">
      <c r="B26" s="46">
        <f t="shared" si="1"/>
        <v>17</v>
      </c>
      <c r="C26" s="45" t="s">
        <v>22</v>
      </c>
      <c r="D26" s="38">
        <v>46089</v>
      </c>
      <c r="E26" s="36">
        <v>46092</v>
      </c>
      <c r="F26" s="37" t="s">
        <v>23</v>
      </c>
      <c r="G26" s="30" t="s">
        <v>71</v>
      </c>
      <c r="H26" s="27"/>
      <c r="I26" s="40" t="s">
        <v>72</v>
      </c>
      <c r="J26" s="31" t="s">
        <v>26</v>
      </c>
      <c r="K26" s="146" t="s">
        <v>10</v>
      </c>
      <c r="L26" s="31"/>
    </row>
    <row r="27" spans="2:12" ht="52">
      <c r="B27" s="46">
        <f t="shared" si="1"/>
        <v>18</v>
      </c>
      <c r="C27" s="45" t="s">
        <v>22</v>
      </c>
      <c r="D27" s="38">
        <v>46089</v>
      </c>
      <c r="E27" s="36">
        <v>46092</v>
      </c>
      <c r="F27" s="37" t="s">
        <v>39</v>
      </c>
      <c r="G27" s="30" t="s">
        <v>73</v>
      </c>
      <c r="H27" s="27"/>
      <c r="I27" s="40" t="s">
        <v>74</v>
      </c>
      <c r="J27" s="31" t="s">
        <v>26</v>
      </c>
      <c r="K27" s="146" t="s">
        <v>9</v>
      </c>
      <c r="L27" s="31"/>
    </row>
    <row r="28" spans="2:12" ht="65">
      <c r="B28" s="46">
        <f t="shared" si="1"/>
        <v>19</v>
      </c>
      <c r="C28" s="45" t="s">
        <v>22</v>
      </c>
      <c r="D28" s="38">
        <v>46089</v>
      </c>
      <c r="E28" s="36">
        <v>46092</v>
      </c>
      <c r="F28" s="37" t="s">
        <v>23</v>
      </c>
      <c r="G28" s="30" t="s">
        <v>75</v>
      </c>
      <c r="H28" s="149" t="s">
        <v>76</v>
      </c>
      <c r="I28" s="44" t="s">
        <v>77</v>
      </c>
      <c r="J28" s="31" t="s">
        <v>26</v>
      </c>
      <c r="K28" s="146" t="s">
        <v>9</v>
      </c>
      <c r="L28" s="31" t="s">
        <v>78</v>
      </c>
    </row>
    <row r="29" spans="2:12" ht="52">
      <c r="B29" s="46">
        <f t="shared" si="1"/>
        <v>20</v>
      </c>
      <c r="C29" s="45" t="s">
        <v>22</v>
      </c>
      <c r="D29" s="38">
        <v>46089</v>
      </c>
      <c r="E29" s="36">
        <v>46092</v>
      </c>
      <c r="F29" s="37" t="s">
        <v>23</v>
      </c>
      <c r="G29" s="30" t="s">
        <v>79</v>
      </c>
      <c r="H29" s="149" t="s">
        <v>80</v>
      </c>
      <c r="I29" s="44" t="s">
        <v>81</v>
      </c>
      <c r="J29" s="31" t="s">
        <v>26</v>
      </c>
      <c r="K29" s="146" t="s">
        <v>9</v>
      </c>
      <c r="L29" s="31"/>
    </row>
    <row r="30" spans="2:12" ht="104">
      <c r="B30" s="46">
        <f t="shared" si="1"/>
        <v>21</v>
      </c>
      <c r="C30" s="45" t="s">
        <v>22</v>
      </c>
      <c r="D30" s="38">
        <v>46089</v>
      </c>
      <c r="E30" s="36"/>
      <c r="F30" s="37" t="s">
        <v>39</v>
      </c>
      <c r="G30" s="30" t="s">
        <v>82</v>
      </c>
      <c r="H30" s="149" t="s">
        <v>83</v>
      </c>
      <c r="I30" s="40" t="s">
        <v>1510</v>
      </c>
      <c r="J30" s="31" t="s">
        <v>26</v>
      </c>
      <c r="K30" s="146" t="s">
        <v>9</v>
      </c>
      <c r="L30" s="31"/>
    </row>
    <row r="31" spans="2:12" ht="143">
      <c r="B31" s="46">
        <f t="shared" si="1"/>
        <v>22</v>
      </c>
      <c r="C31" s="45" t="s">
        <v>22</v>
      </c>
      <c r="D31" s="38">
        <v>46089</v>
      </c>
      <c r="E31" s="36">
        <v>46092</v>
      </c>
      <c r="F31" s="37" t="s">
        <v>39</v>
      </c>
      <c r="G31" s="30" t="s">
        <v>84</v>
      </c>
      <c r="H31" s="27"/>
      <c r="I31" s="40" t="s">
        <v>85</v>
      </c>
      <c r="J31" s="31" t="s">
        <v>26</v>
      </c>
      <c r="K31" s="146" t="s">
        <v>9</v>
      </c>
      <c r="L31" s="31"/>
    </row>
    <row r="32" spans="2:12" ht="26">
      <c r="B32" s="46">
        <f t="shared" si="1"/>
        <v>23</v>
      </c>
      <c r="C32" s="45" t="s">
        <v>22</v>
      </c>
      <c r="D32" s="38">
        <v>46089</v>
      </c>
      <c r="E32" s="36">
        <v>46092</v>
      </c>
      <c r="F32" s="37" t="s">
        <v>39</v>
      </c>
      <c r="G32" s="30" t="s">
        <v>86</v>
      </c>
      <c r="H32" s="27"/>
      <c r="I32" s="44" t="s">
        <v>87</v>
      </c>
      <c r="J32" s="31" t="s">
        <v>26</v>
      </c>
      <c r="K32" s="146" t="s">
        <v>9</v>
      </c>
      <c r="L32" s="31" t="s">
        <v>88</v>
      </c>
    </row>
    <row r="33" spans="2:12">
      <c r="B33" s="46">
        <f t="shared" si="1"/>
        <v>24</v>
      </c>
      <c r="C33" s="45" t="s">
        <v>22</v>
      </c>
      <c r="D33" s="38">
        <v>46089</v>
      </c>
      <c r="E33" s="45"/>
      <c r="F33" s="37" t="s">
        <v>39</v>
      </c>
      <c r="G33" s="30" t="s">
        <v>89</v>
      </c>
      <c r="H33" s="27"/>
      <c r="I33" s="40" t="s">
        <v>90</v>
      </c>
      <c r="J33" s="31" t="s">
        <v>26</v>
      </c>
      <c r="K33" s="146" t="s">
        <v>8</v>
      </c>
      <c r="L33" s="31"/>
    </row>
    <row r="34" spans="2:12" ht="52">
      <c r="B34" s="46">
        <f t="shared" si="1"/>
        <v>25</v>
      </c>
      <c r="C34" s="45" t="s">
        <v>22</v>
      </c>
      <c r="D34" s="38">
        <v>46089</v>
      </c>
      <c r="E34" s="36">
        <v>46092</v>
      </c>
      <c r="F34" s="37" t="s">
        <v>23</v>
      </c>
      <c r="G34" s="30" t="s">
        <v>91</v>
      </c>
      <c r="H34" s="27"/>
      <c r="I34" s="40" t="s">
        <v>92</v>
      </c>
      <c r="J34" s="31" t="s">
        <v>26</v>
      </c>
      <c r="K34" s="146" t="s">
        <v>9</v>
      </c>
      <c r="L34" s="31"/>
    </row>
    <row r="35" spans="2:12" ht="26">
      <c r="B35" s="46">
        <f t="shared" si="1"/>
        <v>26</v>
      </c>
      <c r="C35" s="45" t="s">
        <v>22</v>
      </c>
      <c r="D35" s="38">
        <v>46089</v>
      </c>
      <c r="E35" s="36">
        <v>46092</v>
      </c>
      <c r="F35" s="37" t="s">
        <v>93</v>
      </c>
      <c r="G35" s="30" t="s">
        <v>94</v>
      </c>
      <c r="H35" s="27"/>
      <c r="I35" s="44" t="s">
        <v>95</v>
      </c>
      <c r="J35" s="31" t="s">
        <v>96</v>
      </c>
      <c r="K35" s="146" t="s">
        <v>9</v>
      </c>
      <c r="L35" s="31" t="s">
        <v>97</v>
      </c>
    </row>
    <row r="36" spans="2:12">
      <c r="B36" s="46">
        <f t="shared" si="1"/>
        <v>27</v>
      </c>
      <c r="C36" s="45" t="s">
        <v>22</v>
      </c>
      <c r="D36" s="38">
        <v>46089</v>
      </c>
      <c r="E36" s="36">
        <v>46092</v>
      </c>
      <c r="F36" s="37" t="s">
        <v>23</v>
      </c>
      <c r="G36" s="30" t="s">
        <v>98</v>
      </c>
      <c r="H36" s="27"/>
      <c r="I36" s="44" t="s">
        <v>70</v>
      </c>
      <c r="J36" s="31" t="s">
        <v>96</v>
      </c>
      <c r="K36" s="146" t="s">
        <v>9</v>
      </c>
      <c r="L36" s="31"/>
    </row>
    <row r="37" spans="2:12" ht="39">
      <c r="B37" s="46">
        <f t="shared" si="1"/>
        <v>28</v>
      </c>
      <c r="C37" s="45" t="s">
        <v>22</v>
      </c>
      <c r="D37" s="38">
        <v>46089</v>
      </c>
      <c r="E37" s="36">
        <v>46092</v>
      </c>
      <c r="F37" s="37" t="s">
        <v>23</v>
      </c>
      <c r="G37" s="30" t="s">
        <v>99</v>
      </c>
      <c r="H37" s="27"/>
      <c r="I37" s="44" t="s">
        <v>70</v>
      </c>
      <c r="J37" s="31" t="s">
        <v>100</v>
      </c>
      <c r="K37" s="146" t="s">
        <v>10</v>
      </c>
      <c r="L37" s="31"/>
    </row>
    <row r="38" spans="2:12" ht="26">
      <c r="B38" s="46">
        <f t="shared" si="1"/>
        <v>29</v>
      </c>
      <c r="C38" s="45" t="s">
        <v>22</v>
      </c>
      <c r="D38" s="38">
        <v>46089</v>
      </c>
      <c r="E38" s="45"/>
      <c r="F38" s="37" t="s">
        <v>101</v>
      </c>
      <c r="G38" s="30" t="s">
        <v>102</v>
      </c>
      <c r="H38" s="27"/>
      <c r="I38" s="40"/>
      <c r="J38" s="31" t="s">
        <v>100</v>
      </c>
      <c r="K38" s="146" t="s">
        <v>8</v>
      </c>
      <c r="L38" s="31"/>
    </row>
    <row r="39" spans="2:12">
      <c r="B39" s="46">
        <f t="shared" si="1"/>
        <v>30</v>
      </c>
      <c r="C39" s="45" t="s">
        <v>22</v>
      </c>
      <c r="D39" s="38">
        <v>46093</v>
      </c>
      <c r="E39" s="36">
        <v>46100</v>
      </c>
      <c r="F39" s="37" t="s">
        <v>23</v>
      </c>
      <c r="G39" s="30" t="s">
        <v>103</v>
      </c>
      <c r="H39" s="27"/>
      <c r="I39" s="44" t="s">
        <v>104</v>
      </c>
      <c r="J39" s="31" t="s">
        <v>26</v>
      </c>
      <c r="K39" s="146" t="s">
        <v>9</v>
      </c>
      <c r="L39" s="31" t="s">
        <v>105</v>
      </c>
    </row>
    <row r="40" spans="2:12" ht="91">
      <c r="B40" s="203">
        <v>31</v>
      </c>
      <c r="C40" s="204" t="s">
        <v>22</v>
      </c>
      <c r="D40" s="205">
        <v>46098</v>
      </c>
      <c r="E40" s="202">
        <v>46101</v>
      </c>
      <c r="F40" s="206" t="s">
        <v>101</v>
      </c>
      <c r="G40" s="207" t="s">
        <v>106</v>
      </c>
      <c r="H40" s="208"/>
      <c r="I40" s="200" t="s">
        <v>107</v>
      </c>
      <c r="J40" s="209" t="s">
        <v>26</v>
      </c>
      <c r="K40" s="210" t="s">
        <v>9</v>
      </c>
      <c r="L40" s="209"/>
    </row>
    <row r="41" spans="2:12" ht="26">
      <c r="B41" s="203">
        <v>32</v>
      </c>
      <c r="C41" s="204" t="s">
        <v>22</v>
      </c>
      <c r="D41" s="205">
        <v>46098</v>
      </c>
      <c r="E41" s="202">
        <v>46103</v>
      </c>
      <c r="F41" s="206" t="s">
        <v>23</v>
      </c>
      <c r="G41" s="207" t="s">
        <v>108</v>
      </c>
      <c r="H41" s="208"/>
      <c r="I41" s="44" t="s">
        <v>109</v>
      </c>
      <c r="J41" s="209" t="s">
        <v>26</v>
      </c>
      <c r="K41" s="210" t="s">
        <v>9</v>
      </c>
      <c r="L41" s="209" t="s">
        <v>110</v>
      </c>
    </row>
    <row r="42" spans="2:12" ht="26">
      <c r="B42" s="203">
        <v>33</v>
      </c>
      <c r="C42" s="204" t="s">
        <v>22</v>
      </c>
      <c r="D42" s="205">
        <v>46098</v>
      </c>
      <c r="E42" s="202">
        <v>46105</v>
      </c>
      <c r="F42" s="206" t="s">
        <v>39</v>
      </c>
      <c r="G42" s="207" t="s">
        <v>111</v>
      </c>
      <c r="H42" s="208"/>
      <c r="I42" s="200" t="s">
        <v>112</v>
      </c>
      <c r="J42" s="209" t="s">
        <v>26</v>
      </c>
      <c r="K42" s="210" t="s">
        <v>9</v>
      </c>
      <c r="L42" s="209"/>
    </row>
    <row r="43" spans="2:12" ht="39">
      <c r="B43" s="203">
        <v>34</v>
      </c>
      <c r="C43" s="204" t="s">
        <v>22</v>
      </c>
      <c r="D43" s="205">
        <v>46098</v>
      </c>
      <c r="E43" s="204"/>
      <c r="F43" s="206" t="s">
        <v>39</v>
      </c>
      <c r="G43" s="207" t="s">
        <v>113</v>
      </c>
      <c r="H43" s="208"/>
      <c r="I43" s="221" t="s">
        <v>114</v>
      </c>
      <c r="J43" s="209" t="s">
        <v>26</v>
      </c>
      <c r="K43" s="210" t="s">
        <v>9</v>
      </c>
      <c r="L43" s="209" t="s">
        <v>115</v>
      </c>
    </row>
    <row r="44" spans="2:12" ht="65">
      <c r="B44" s="203">
        <v>35</v>
      </c>
      <c r="C44" s="204" t="s">
        <v>22</v>
      </c>
      <c r="D44" s="205">
        <v>46098</v>
      </c>
      <c r="E44" s="202">
        <v>46101</v>
      </c>
      <c r="F44" s="206" t="s">
        <v>101</v>
      </c>
      <c r="G44" s="207" t="s">
        <v>116</v>
      </c>
      <c r="H44" s="208"/>
      <c r="I44" s="200" t="s">
        <v>117</v>
      </c>
      <c r="J44" s="209" t="s">
        <v>26</v>
      </c>
      <c r="K44" s="210" t="s">
        <v>9</v>
      </c>
      <c r="L44" s="209"/>
    </row>
    <row r="45" spans="2:12" ht="39">
      <c r="B45" s="203">
        <v>36</v>
      </c>
      <c r="C45" s="204" t="s">
        <v>22</v>
      </c>
      <c r="D45" s="205">
        <v>46098</v>
      </c>
      <c r="E45" s="202">
        <v>46100</v>
      </c>
      <c r="F45" s="206" t="s">
        <v>23</v>
      </c>
      <c r="G45" s="207" t="s">
        <v>118</v>
      </c>
      <c r="H45" s="208"/>
      <c r="I45" s="200" t="s">
        <v>119</v>
      </c>
      <c r="J45" s="209" t="s">
        <v>26</v>
      </c>
      <c r="K45" s="210" t="s">
        <v>9</v>
      </c>
      <c r="L45" s="209"/>
    </row>
    <row r="46" spans="2:12" ht="39">
      <c r="B46" s="203">
        <v>37</v>
      </c>
      <c r="C46" s="204" t="s">
        <v>22</v>
      </c>
      <c r="D46" s="205">
        <v>46098</v>
      </c>
      <c r="E46" s="202">
        <v>46106</v>
      </c>
      <c r="F46" s="206" t="s">
        <v>39</v>
      </c>
      <c r="G46" s="207" t="s">
        <v>120</v>
      </c>
      <c r="H46" s="208"/>
      <c r="I46" s="221" t="s">
        <v>121</v>
      </c>
      <c r="J46" s="209" t="s">
        <v>26</v>
      </c>
      <c r="K46" s="210" t="s">
        <v>9</v>
      </c>
      <c r="L46" s="209" t="s">
        <v>122</v>
      </c>
    </row>
    <row r="47" spans="2:12" ht="65">
      <c r="B47" s="203">
        <v>38</v>
      </c>
      <c r="C47" s="204" t="s">
        <v>22</v>
      </c>
      <c r="D47" s="205">
        <v>46098</v>
      </c>
      <c r="E47" s="204"/>
      <c r="F47" s="206" t="s">
        <v>39</v>
      </c>
      <c r="G47" s="207" t="s">
        <v>123</v>
      </c>
      <c r="H47" s="208"/>
      <c r="I47" s="200" t="s">
        <v>124</v>
      </c>
      <c r="J47" s="209" t="s">
        <v>26</v>
      </c>
      <c r="K47" s="210" t="s">
        <v>8</v>
      </c>
      <c r="L47" s="209" t="s">
        <v>125</v>
      </c>
    </row>
    <row r="48" spans="2:12" ht="91">
      <c r="B48" s="203">
        <v>39</v>
      </c>
      <c r="C48" s="204" t="s">
        <v>22</v>
      </c>
      <c r="D48" s="205">
        <v>46098</v>
      </c>
      <c r="E48" s="202">
        <v>46101</v>
      </c>
      <c r="F48" s="206" t="s">
        <v>39</v>
      </c>
      <c r="G48" s="207" t="s">
        <v>126</v>
      </c>
      <c r="H48" s="208"/>
      <c r="I48" s="200" t="s">
        <v>127</v>
      </c>
      <c r="J48" s="209" t="s">
        <v>26</v>
      </c>
      <c r="K48" s="210" t="s">
        <v>9</v>
      </c>
      <c r="L48" s="209" t="s">
        <v>128</v>
      </c>
    </row>
    <row r="49" spans="1:12" ht="39">
      <c r="B49" s="203">
        <v>40</v>
      </c>
      <c r="C49" s="204" t="s">
        <v>22</v>
      </c>
      <c r="D49" s="205">
        <v>46098</v>
      </c>
      <c r="E49" s="202">
        <v>46101</v>
      </c>
      <c r="F49" s="206" t="s">
        <v>23</v>
      </c>
      <c r="G49" s="207" t="s">
        <v>129</v>
      </c>
      <c r="H49" s="208"/>
      <c r="I49" s="200" t="s">
        <v>130</v>
      </c>
      <c r="J49" s="209" t="s">
        <v>26</v>
      </c>
      <c r="K49" s="210" t="s">
        <v>9</v>
      </c>
      <c r="L49" s="209"/>
    </row>
    <row r="50" spans="1:12" ht="52">
      <c r="B50" s="203">
        <v>41</v>
      </c>
      <c r="C50" s="204" t="s">
        <v>22</v>
      </c>
      <c r="D50" s="205">
        <v>46098</v>
      </c>
      <c r="E50" s="202">
        <v>46101</v>
      </c>
      <c r="F50" s="206" t="s">
        <v>23</v>
      </c>
      <c r="G50" s="207" t="s">
        <v>131</v>
      </c>
      <c r="H50" s="208"/>
      <c r="I50" s="200" t="s">
        <v>132</v>
      </c>
      <c r="J50" s="209" t="s">
        <v>26</v>
      </c>
      <c r="K50" s="210" t="s">
        <v>9</v>
      </c>
      <c r="L50" s="209"/>
    </row>
    <row r="51" spans="1:12" ht="52">
      <c r="B51" s="203">
        <v>42</v>
      </c>
      <c r="C51" s="204" t="s">
        <v>22</v>
      </c>
      <c r="D51" s="205">
        <v>46098</v>
      </c>
      <c r="E51" s="204"/>
      <c r="F51" s="206" t="s">
        <v>23</v>
      </c>
      <c r="G51" s="207" t="s">
        <v>133</v>
      </c>
      <c r="H51" s="208"/>
      <c r="I51" s="200"/>
      <c r="J51" s="209" t="s">
        <v>26</v>
      </c>
      <c r="K51" s="210" t="s">
        <v>8</v>
      </c>
      <c r="L51" s="209"/>
    </row>
    <row r="52" spans="1:12" ht="91">
      <c r="B52" s="203">
        <f>B51+1</f>
        <v>43</v>
      </c>
      <c r="C52" s="204" t="s">
        <v>22</v>
      </c>
      <c r="D52" s="205">
        <v>46104</v>
      </c>
      <c r="E52" s="204"/>
      <c r="F52" s="206" t="s">
        <v>23</v>
      </c>
      <c r="G52" s="207" t="s">
        <v>134</v>
      </c>
      <c r="H52" s="208"/>
      <c r="I52" s="200"/>
      <c r="J52" s="209" t="s">
        <v>26</v>
      </c>
      <c r="K52" s="210" t="s">
        <v>8</v>
      </c>
      <c r="L52" s="209"/>
    </row>
    <row r="53" spans="1:12" ht="156">
      <c r="B53" s="203">
        <f>B52+1</f>
        <v>44</v>
      </c>
      <c r="C53" s="204" t="s">
        <v>22</v>
      </c>
      <c r="D53" s="205">
        <v>46104</v>
      </c>
      <c r="E53" s="202">
        <v>46105</v>
      </c>
      <c r="F53" s="206" t="s">
        <v>23</v>
      </c>
      <c r="G53" s="207" t="s">
        <v>135</v>
      </c>
      <c r="H53" s="208"/>
      <c r="I53" s="200" t="s">
        <v>136</v>
      </c>
      <c r="J53" s="209" t="s">
        <v>26</v>
      </c>
      <c r="K53" s="210" t="s">
        <v>9</v>
      </c>
      <c r="L53" s="209"/>
    </row>
    <row r="54" spans="1:12" ht="52">
      <c r="B54" s="203">
        <f>B53+1</f>
        <v>45</v>
      </c>
      <c r="C54" s="204" t="s">
        <v>22</v>
      </c>
      <c r="D54" s="205">
        <v>46104</v>
      </c>
      <c r="E54" s="202">
        <v>46108</v>
      </c>
      <c r="F54" s="206" t="s">
        <v>23</v>
      </c>
      <c r="G54" s="207" t="s">
        <v>137</v>
      </c>
      <c r="H54" s="208"/>
      <c r="I54" s="200" t="s">
        <v>1511</v>
      </c>
      <c r="J54" s="209" t="s">
        <v>26</v>
      </c>
      <c r="K54" s="210" t="s">
        <v>9</v>
      </c>
      <c r="L54" s="209" t="s">
        <v>1512</v>
      </c>
    </row>
    <row r="55" spans="1:12" ht="39">
      <c r="B55" s="203">
        <f>B54+1</f>
        <v>46</v>
      </c>
      <c r="C55" s="204" t="s">
        <v>22</v>
      </c>
      <c r="D55" s="205">
        <v>46104</v>
      </c>
      <c r="E55" s="202"/>
      <c r="F55" s="206" t="s">
        <v>23</v>
      </c>
      <c r="G55" s="207" t="s">
        <v>138</v>
      </c>
      <c r="H55" s="208"/>
      <c r="I55" s="200"/>
      <c r="J55" s="209" t="s">
        <v>26</v>
      </c>
      <c r="K55" s="210" t="s">
        <v>7</v>
      </c>
      <c r="L55" s="209"/>
    </row>
    <row r="56" spans="1:12" ht="26">
      <c r="B56" s="203">
        <f t="shared" ref="B56:B61" si="2">B55+1</f>
        <v>47</v>
      </c>
      <c r="C56" s="204" t="s">
        <v>22</v>
      </c>
      <c r="D56" s="205">
        <v>46104</v>
      </c>
      <c r="E56" s="202">
        <v>46108</v>
      </c>
      <c r="F56" s="206" t="s">
        <v>23</v>
      </c>
      <c r="G56" s="207" t="s">
        <v>139</v>
      </c>
      <c r="H56" s="208"/>
      <c r="I56" s="200" t="s">
        <v>1511</v>
      </c>
      <c r="J56" s="209" t="s">
        <v>26</v>
      </c>
      <c r="K56" s="210" t="s">
        <v>9</v>
      </c>
      <c r="L56" s="209" t="s">
        <v>1512</v>
      </c>
    </row>
    <row r="57" spans="1:12" ht="52">
      <c r="B57" s="203">
        <f t="shared" si="2"/>
        <v>48</v>
      </c>
      <c r="C57" s="204" t="s">
        <v>22</v>
      </c>
      <c r="D57" s="205">
        <v>46104</v>
      </c>
      <c r="E57" s="202">
        <v>46106</v>
      </c>
      <c r="F57" s="206" t="s">
        <v>23</v>
      </c>
      <c r="G57" s="207" t="s">
        <v>140</v>
      </c>
      <c r="H57" s="208"/>
      <c r="I57" s="200" t="s">
        <v>141</v>
      </c>
      <c r="J57" s="209" t="s">
        <v>26</v>
      </c>
      <c r="K57" s="210" t="s">
        <v>9</v>
      </c>
      <c r="L57" s="209"/>
    </row>
    <row r="58" spans="1:12" ht="52">
      <c r="B58" s="203">
        <f t="shared" si="2"/>
        <v>49</v>
      </c>
      <c r="C58" s="204" t="s">
        <v>22</v>
      </c>
      <c r="D58" s="205">
        <v>46104</v>
      </c>
      <c r="E58" s="204"/>
      <c r="F58" s="206" t="s">
        <v>23</v>
      </c>
      <c r="G58" s="207" t="s">
        <v>142</v>
      </c>
      <c r="H58" s="208"/>
      <c r="I58" s="200"/>
      <c r="J58" s="209" t="s">
        <v>26</v>
      </c>
      <c r="K58" s="210" t="s">
        <v>7</v>
      </c>
      <c r="L58" s="209"/>
    </row>
    <row r="59" spans="1:12" ht="52">
      <c r="B59" s="203">
        <f t="shared" si="2"/>
        <v>50</v>
      </c>
      <c r="C59" s="204" t="s">
        <v>22</v>
      </c>
      <c r="D59" s="205">
        <v>46104</v>
      </c>
      <c r="E59" s="202">
        <v>46108</v>
      </c>
      <c r="F59" s="206" t="s">
        <v>23</v>
      </c>
      <c r="G59" s="207" t="s">
        <v>143</v>
      </c>
      <c r="H59" s="208"/>
      <c r="I59" s="200" t="s">
        <v>1513</v>
      </c>
      <c r="J59" s="209" t="s">
        <v>26</v>
      </c>
      <c r="K59" s="210" t="s">
        <v>9</v>
      </c>
      <c r="L59" s="209"/>
    </row>
    <row r="60" spans="1:12" ht="26">
      <c r="B60" s="203">
        <f t="shared" si="2"/>
        <v>51</v>
      </c>
      <c r="C60" s="204" t="s">
        <v>22</v>
      </c>
      <c r="D60" s="205">
        <v>46104</v>
      </c>
      <c r="E60" s="202">
        <v>46105</v>
      </c>
      <c r="F60" s="206" t="s">
        <v>101</v>
      </c>
      <c r="G60" s="207" t="s">
        <v>144</v>
      </c>
      <c r="H60" s="208"/>
      <c r="I60" s="200" t="s">
        <v>145</v>
      </c>
      <c r="J60" s="209" t="s">
        <v>26</v>
      </c>
      <c r="K60" s="210" t="s">
        <v>9</v>
      </c>
      <c r="L60" s="209" t="s">
        <v>146</v>
      </c>
    </row>
    <row r="61" spans="1:12" ht="58" customHeight="1">
      <c r="B61" s="203">
        <f t="shared" si="2"/>
        <v>52</v>
      </c>
      <c r="C61" s="204" t="s">
        <v>22</v>
      </c>
      <c r="D61" s="205">
        <v>46104</v>
      </c>
      <c r="E61" s="202">
        <v>46105</v>
      </c>
      <c r="F61" s="206" t="s">
        <v>147</v>
      </c>
      <c r="G61" s="207" t="s">
        <v>148</v>
      </c>
      <c r="H61" s="208"/>
      <c r="I61" s="200" t="s">
        <v>145</v>
      </c>
      <c r="J61" s="209" t="s">
        <v>26</v>
      </c>
      <c r="K61" s="210" t="s">
        <v>9</v>
      </c>
      <c r="L61" s="209" t="s">
        <v>146</v>
      </c>
    </row>
    <row r="62" spans="1:12">
      <c r="A62" s="13" t="s">
        <v>149</v>
      </c>
      <c r="B62" s="13" t="s">
        <v>149</v>
      </c>
      <c r="C62" s="13" t="s">
        <v>149</v>
      </c>
      <c r="D62" s="13" t="s">
        <v>149</v>
      </c>
      <c r="E62" s="13" t="s">
        <v>149</v>
      </c>
      <c r="F62" s="13" t="s">
        <v>149</v>
      </c>
      <c r="G62" s="13" t="s">
        <v>149</v>
      </c>
      <c r="H62" s="13" t="s">
        <v>149</v>
      </c>
      <c r="I62" s="13" t="s">
        <v>149</v>
      </c>
      <c r="J62" s="13" t="s">
        <v>149</v>
      </c>
      <c r="K62" s="13" t="s">
        <v>149</v>
      </c>
      <c r="L62" s="13" t="s">
        <v>149</v>
      </c>
    </row>
  </sheetData>
  <autoFilter ref="B9:L21" xr:uid="{262D484F-FD24-4B41-840B-4E727D26D9FE}"/>
  <conditionalFormatting sqref="G10:G51">
    <cfRule type="expression" dxfId="355" priority="140">
      <formula>G10="High"</formula>
    </cfRule>
    <cfRule type="expression" dxfId="354" priority="141">
      <formula>G10="Very High"</formula>
    </cfRule>
    <cfRule type="cellIs" dxfId="353" priority="142" operator="equal">
      <formula>"Closed"</formula>
    </cfRule>
    <cfRule type="cellIs" dxfId="352" priority="143" operator="equal">
      <formula>"Partial"</formula>
    </cfRule>
    <cfRule type="cellIs" dxfId="351" priority="144" operator="equal">
      <formula>"Data Room"</formula>
    </cfRule>
    <cfRule type="cellIs" dxfId="350" priority="145" operator="equal">
      <formula>"Partial"</formula>
    </cfRule>
    <cfRule type="cellIs" dxfId="349" priority="146" operator="equal">
      <formula>"In-Process"</formula>
    </cfRule>
    <cfRule type="cellIs" dxfId="348" priority="147" operator="equal">
      <formula>"Defer"</formula>
    </cfRule>
    <cfRule type="cellIs" dxfId="347" priority="148" operator="equal">
      <formula>"Closed"</formula>
    </cfRule>
    <cfRule type="cellIs" dxfId="346" priority="149" operator="equal">
      <formula>"Open"</formula>
    </cfRule>
    <cfRule type="cellIs" dxfId="345" priority="150" operator="equal">
      <formula>"WB In-Process"</formula>
    </cfRule>
  </conditionalFormatting>
  <conditionalFormatting sqref="G39:G61 I10:J61 L10:L61">
    <cfRule type="expression" dxfId="344" priority="1">
      <formula>G10="High"</formula>
    </cfRule>
    <cfRule type="expression" dxfId="343" priority="2">
      <formula>G10="Very High"</formula>
    </cfRule>
    <cfRule type="cellIs" dxfId="342" priority="3" operator="equal">
      <formula>"Closed"</formula>
    </cfRule>
    <cfRule type="cellIs" dxfId="341" priority="4" operator="equal">
      <formula>"Partial"</formula>
    </cfRule>
    <cfRule type="cellIs" dxfId="340" priority="5" operator="equal">
      <formula>"Data Room"</formula>
    </cfRule>
    <cfRule type="cellIs" dxfId="339" priority="6" operator="equal">
      <formula>"Partial"</formula>
    </cfRule>
    <cfRule type="cellIs" dxfId="338" priority="7" operator="equal">
      <formula>"In-Process"</formula>
    </cfRule>
    <cfRule type="cellIs" dxfId="337" priority="8" operator="equal">
      <formula>"Defer"</formula>
    </cfRule>
    <cfRule type="cellIs" dxfId="336" priority="9" operator="equal">
      <formula>"Closed"</formula>
    </cfRule>
    <cfRule type="cellIs" dxfId="335" priority="10" operator="equal">
      <formula>"Open"</formula>
    </cfRule>
    <cfRule type="cellIs" dxfId="334" priority="11" operator="equal">
      <formula>"WB In-Process"</formula>
    </cfRule>
  </conditionalFormatting>
  <conditionalFormatting sqref="I3:K7">
    <cfRule type="cellIs" dxfId="333" priority="162" operator="equal">
      <formula>"scheduled"</formula>
    </cfRule>
    <cfRule type="cellIs" dxfId="332" priority="163" operator="equal">
      <formula>"defer"</formula>
    </cfRule>
    <cfRule type="cellIs" dxfId="331" priority="164" operator="equal">
      <formula>"open"</formula>
    </cfRule>
    <cfRule type="cellIs" dxfId="330" priority="165" operator="equal">
      <formula>"complete"</formula>
    </cfRule>
    <cfRule type="cellIs" dxfId="329" priority="166" operator="equal">
      <formula>"in process"</formula>
    </cfRule>
  </conditionalFormatting>
  <conditionalFormatting sqref="K2:K61">
    <cfRule type="cellIs" dxfId="328" priority="12" operator="equal">
      <formula>"scheduled"</formula>
    </cfRule>
    <cfRule type="cellIs" dxfId="327" priority="13" operator="equal">
      <formula>"defer"</formula>
    </cfRule>
    <cfRule type="cellIs" dxfId="326" priority="14" operator="equal">
      <formula>"open"</formula>
    </cfRule>
    <cfRule type="cellIs" dxfId="325" priority="15" operator="equal">
      <formula>"complete"</formula>
    </cfRule>
    <cfRule type="cellIs" dxfId="324" priority="16" operator="equal">
      <formula>"in process"</formula>
    </cfRule>
  </conditionalFormatting>
  <dataValidations disablePrompts="1" count="1">
    <dataValidation type="list" allowBlank="1" showInputMessage="1" showErrorMessage="1" sqref="K10:K61" xr:uid="{DE29E631-CF72-4387-B752-057DC7D46E60}">
      <formula1>$I$3:$I$6</formula1>
    </dataValidation>
  </dataValidations>
  <pageMargins left="0.7" right="0.7" top="0.75" bottom="0.75" header="0.3" footer="0.3"/>
  <pageSetup scale="23" orientation="portrait" r:id="rId1"/>
  <customProperties>
    <customPr name="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0EB7-3BBE-4414-B416-AB34F1C77AB0}">
  <sheetPr codeName="Sheet3">
    <tabColor theme="4" tint="0.79998168889431442"/>
    <pageSetUpPr fitToPage="1"/>
  </sheetPr>
  <dimension ref="A2:M15"/>
  <sheetViews>
    <sheetView showGridLines="0" view="pageBreakPreview" zoomScaleNormal="70" zoomScaleSheetLayoutView="100" workbookViewId="0">
      <pane xSplit="3" ySplit="9" topLeftCell="D10" activePane="bottomRight" state="frozen"/>
      <selection pane="topRight" activeCell="C370" sqref="C370"/>
      <selection pane="bottomLeft" activeCell="C370" sqref="C37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75" style="33" bestFit="1" customWidth="1"/>
    <col min="5" max="5" width="10.08203125" style="13" bestFit="1"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1:13">
      <c r="B2" s="6" t="s">
        <v>3</v>
      </c>
      <c r="C2" s="34"/>
      <c r="D2" s="34"/>
      <c r="E2" s="7"/>
      <c r="F2" s="34"/>
      <c r="G2" s="8"/>
      <c r="H2" s="7"/>
      <c r="I2" s="9" t="s">
        <v>4</v>
      </c>
      <c r="J2" s="10" t="s">
        <v>5</v>
      </c>
      <c r="K2" s="11" t="s">
        <v>6</v>
      </c>
      <c r="L2" s="12"/>
    </row>
    <row r="3" spans="1:13">
      <c r="B3" s="7"/>
      <c r="C3" s="35"/>
      <c r="D3" s="14"/>
      <c r="E3" s="14"/>
      <c r="F3" s="14"/>
      <c r="G3" s="15"/>
      <c r="H3" s="7"/>
      <c r="I3" s="16" t="s">
        <v>7</v>
      </c>
      <c r="J3" s="17">
        <f>+COUNTIFS(K$8:K$1305,$I3)</f>
        <v>0</v>
      </c>
      <c r="K3" s="18">
        <f>J3/$J$7</f>
        <v>0</v>
      </c>
      <c r="L3" s="14"/>
    </row>
    <row r="4" spans="1:13">
      <c r="B4" s="6"/>
      <c r="C4" s="34"/>
      <c r="D4" s="34"/>
      <c r="E4" s="7"/>
      <c r="F4" s="34"/>
      <c r="G4" s="8"/>
      <c r="H4" s="7"/>
      <c r="I4" s="16" t="s">
        <v>8</v>
      </c>
      <c r="J4" s="17">
        <f>+COUNTIFS(K$8:K$1305,$I4)</f>
        <v>0</v>
      </c>
      <c r="K4" s="18">
        <f>J4/$J$7</f>
        <v>0</v>
      </c>
      <c r="L4" s="12"/>
    </row>
    <row r="5" spans="1:13">
      <c r="B5" s="19"/>
      <c r="C5" s="19"/>
      <c r="D5" s="19"/>
      <c r="E5" s="20"/>
      <c r="F5" s="19"/>
      <c r="G5" s="21"/>
      <c r="H5" s="20"/>
      <c r="I5" s="16" t="s">
        <v>9</v>
      </c>
      <c r="J5" s="17">
        <f>+COUNTIFS(K$8:K$1305,$I5)</f>
        <v>5</v>
      </c>
      <c r="K5" s="18">
        <f>J5/$J$7</f>
        <v>1</v>
      </c>
      <c r="L5" s="22"/>
    </row>
    <row r="6" spans="1:13">
      <c r="B6" s="19"/>
      <c r="C6" s="19"/>
      <c r="D6" s="19"/>
      <c r="E6" s="20"/>
      <c r="F6" s="19"/>
      <c r="G6" s="21"/>
      <c r="H6" s="20"/>
      <c r="I6" s="16" t="s">
        <v>10</v>
      </c>
      <c r="J6" s="17">
        <f>+COUNTIFS(K$8:K$1305,$I6)</f>
        <v>0</v>
      </c>
      <c r="K6" s="18">
        <f>J6/$J$7</f>
        <v>0</v>
      </c>
      <c r="L6" s="22"/>
    </row>
    <row r="7" spans="1:13">
      <c r="B7" s="19"/>
      <c r="C7" s="19"/>
      <c r="D7" s="19"/>
      <c r="E7" s="20"/>
      <c r="F7" s="19"/>
      <c r="G7" s="21"/>
      <c r="H7" s="20"/>
      <c r="I7" s="16" t="s">
        <v>11</v>
      </c>
      <c r="J7" s="23">
        <f>+SUM(J3:J6)</f>
        <v>5</v>
      </c>
      <c r="K7" s="24">
        <f>+SUM(K3:K6)</f>
        <v>1</v>
      </c>
      <c r="L7" s="22"/>
    </row>
    <row r="8" spans="1:13">
      <c r="B8" s="19"/>
      <c r="C8" s="19"/>
      <c r="D8" s="19"/>
      <c r="E8" s="20"/>
      <c r="F8" s="19"/>
      <c r="G8" s="21"/>
      <c r="H8" s="15"/>
      <c r="I8" s="7"/>
      <c r="J8" s="43">
        <f>MAX(B:B)-J7</f>
        <v>0</v>
      </c>
      <c r="K8" s="22"/>
      <c r="L8" s="22"/>
    </row>
    <row r="9" spans="1:13" ht="26">
      <c r="B9" s="25" t="s">
        <v>12</v>
      </c>
      <c r="C9" s="25" t="s">
        <v>13</v>
      </c>
      <c r="D9" s="26" t="s">
        <v>14</v>
      </c>
      <c r="E9" s="26" t="s">
        <v>15</v>
      </c>
      <c r="F9" s="25" t="s">
        <v>16</v>
      </c>
      <c r="G9" s="25" t="s">
        <v>17</v>
      </c>
      <c r="H9" s="26" t="s">
        <v>18</v>
      </c>
      <c r="I9" s="25" t="s">
        <v>19</v>
      </c>
      <c r="J9" s="25" t="s">
        <v>20</v>
      </c>
      <c r="K9" s="25" t="s">
        <v>4</v>
      </c>
      <c r="L9" s="26" t="s">
        <v>21</v>
      </c>
    </row>
    <row r="10" spans="1:13" ht="78">
      <c r="B10" s="46">
        <v>1</v>
      </c>
      <c r="C10" s="45" t="s">
        <v>22</v>
      </c>
      <c r="D10" s="38">
        <v>46092</v>
      </c>
      <c r="E10" s="38">
        <v>46094</v>
      </c>
      <c r="F10" s="37" t="s">
        <v>147</v>
      </c>
      <c r="G10" s="30" t="s">
        <v>150</v>
      </c>
      <c r="H10" s="28" t="s">
        <v>151</v>
      </c>
      <c r="I10" s="40" t="s">
        <v>152</v>
      </c>
      <c r="J10" s="31" t="s">
        <v>26</v>
      </c>
      <c r="K10" s="146" t="s">
        <v>9</v>
      </c>
      <c r="L10" s="31"/>
      <c r="M10"/>
    </row>
    <row r="11" spans="1:13" ht="39">
      <c r="B11" s="46">
        <f t="shared" ref="B11:B14" si="0">B10+1</f>
        <v>2</v>
      </c>
      <c r="C11" s="45" t="s">
        <v>22</v>
      </c>
      <c r="D11" s="38">
        <v>46092</v>
      </c>
      <c r="E11" s="38">
        <v>46094</v>
      </c>
      <c r="F11" s="37" t="s">
        <v>147</v>
      </c>
      <c r="G11" s="30" t="s">
        <v>153</v>
      </c>
      <c r="H11" s="27"/>
      <c r="I11" s="40" t="s">
        <v>154</v>
      </c>
      <c r="J11" s="31" t="s">
        <v>26</v>
      </c>
      <c r="K11" s="146" t="s">
        <v>9</v>
      </c>
      <c r="L11" s="31"/>
      <c r="M11"/>
    </row>
    <row r="12" spans="1:13" ht="91">
      <c r="B12" s="46">
        <f t="shared" si="0"/>
        <v>3</v>
      </c>
      <c r="C12" s="45" t="s">
        <v>22</v>
      </c>
      <c r="D12" s="38">
        <v>46092</v>
      </c>
      <c r="E12" s="38">
        <v>46094</v>
      </c>
      <c r="F12" s="37" t="s">
        <v>147</v>
      </c>
      <c r="G12" s="30" t="s">
        <v>155</v>
      </c>
      <c r="H12" s="28" t="s">
        <v>156</v>
      </c>
      <c r="I12" s="40" t="s">
        <v>157</v>
      </c>
      <c r="J12" s="31" t="s">
        <v>26</v>
      </c>
      <c r="K12" s="146" t="s">
        <v>9</v>
      </c>
      <c r="L12" s="31" t="s">
        <v>158</v>
      </c>
      <c r="M12"/>
    </row>
    <row r="13" spans="1:13" ht="39">
      <c r="B13" s="46">
        <f t="shared" si="0"/>
        <v>4</v>
      </c>
      <c r="C13" s="45" t="s">
        <v>22</v>
      </c>
      <c r="D13" s="38">
        <v>46092</v>
      </c>
      <c r="E13" s="38">
        <v>46094</v>
      </c>
      <c r="F13" s="37" t="s">
        <v>147</v>
      </c>
      <c r="G13" s="30" t="s">
        <v>159</v>
      </c>
      <c r="H13" s="27"/>
      <c r="I13" s="40" t="s">
        <v>160</v>
      </c>
      <c r="J13" s="31" t="s">
        <v>26</v>
      </c>
      <c r="K13" s="146" t="s">
        <v>9</v>
      </c>
      <c r="L13" s="31"/>
      <c r="M13"/>
    </row>
    <row r="14" spans="1:13" ht="39">
      <c r="B14" s="46">
        <f t="shared" si="0"/>
        <v>5</v>
      </c>
      <c r="C14" s="45" t="s">
        <v>22</v>
      </c>
      <c r="D14" s="38">
        <v>46092</v>
      </c>
      <c r="E14" s="38">
        <v>46094</v>
      </c>
      <c r="F14" s="37" t="s">
        <v>147</v>
      </c>
      <c r="G14" s="30" t="s">
        <v>161</v>
      </c>
      <c r="H14" s="27"/>
      <c r="I14" s="40" t="s">
        <v>160</v>
      </c>
      <c r="J14" s="31" t="s">
        <v>26</v>
      </c>
      <c r="K14" s="146" t="s">
        <v>9</v>
      </c>
      <c r="L14" s="31"/>
      <c r="M14"/>
    </row>
    <row r="15" spans="1:13">
      <c r="A15" s="13" t="s">
        <v>149</v>
      </c>
      <c r="B15" s="13" t="s">
        <v>149</v>
      </c>
      <c r="C15" s="13" t="s">
        <v>149</v>
      </c>
      <c r="D15" s="13" t="s">
        <v>149</v>
      </c>
      <c r="E15" s="13" t="s">
        <v>149</v>
      </c>
      <c r="F15" s="13" t="s">
        <v>149</v>
      </c>
      <c r="G15" s="13" t="s">
        <v>149</v>
      </c>
      <c r="H15" s="13" t="s">
        <v>149</v>
      </c>
      <c r="I15" s="13" t="s">
        <v>149</v>
      </c>
      <c r="J15" s="13" t="s">
        <v>149</v>
      </c>
      <c r="K15" s="13" t="s">
        <v>149</v>
      </c>
      <c r="L15" s="13" t="s">
        <v>149</v>
      </c>
    </row>
  </sheetData>
  <autoFilter ref="B9:L9" xr:uid="{262D484F-FD24-4B41-840B-4E727D26D9FE}"/>
  <conditionalFormatting sqref="G10:G14">
    <cfRule type="expression" dxfId="323" priority="65">
      <formula>G10="High"</formula>
    </cfRule>
    <cfRule type="expression" dxfId="322" priority="66">
      <formula>G10="Very High"</formula>
    </cfRule>
    <cfRule type="cellIs" dxfId="321" priority="67" operator="equal">
      <formula>"Closed"</formula>
    </cfRule>
    <cfRule type="cellIs" dxfId="320" priority="68" operator="equal">
      <formula>"Partial"</formula>
    </cfRule>
    <cfRule type="cellIs" dxfId="319" priority="69" operator="equal">
      <formula>"Data Room"</formula>
    </cfRule>
    <cfRule type="cellIs" dxfId="318" priority="70" operator="equal">
      <formula>"Partial"</formula>
    </cfRule>
    <cfRule type="cellIs" dxfId="317" priority="71" operator="equal">
      <formula>"In-Process"</formula>
    </cfRule>
    <cfRule type="cellIs" dxfId="316" priority="72" operator="equal">
      <formula>"Defer"</formula>
    </cfRule>
    <cfRule type="cellIs" dxfId="315" priority="73" operator="equal">
      <formula>"Closed"</formula>
    </cfRule>
    <cfRule type="cellIs" dxfId="314" priority="74" operator="equal">
      <formula>"Open"</formula>
    </cfRule>
    <cfRule type="cellIs" dxfId="313" priority="75" operator="equal">
      <formula>"WB In-Process"</formula>
    </cfRule>
  </conditionalFormatting>
  <conditionalFormatting sqref="I10:J14">
    <cfRule type="expression" dxfId="312" priority="17">
      <formula>I10="High"</formula>
    </cfRule>
    <cfRule type="expression" dxfId="311" priority="18">
      <formula>I10="Very High"</formula>
    </cfRule>
    <cfRule type="cellIs" dxfId="310" priority="19" operator="equal">
      <formula>"Closed"</formula>
    </cfRule>
    <cfRule type="cellIs" dxfId="309" priority="20" operator="equal">
      <formula>"Partial"</formula>
    </cfRule>
    <cfRule type="cellIs" dxfId="308" priority="21" operator="equal">
      <formula>"Data Room"</formula>
    </cfRule>
    <cfRule type="cellIs" dxfId="307" priority="22" operator="equal">
      <formula>"Partial"</formula>
    </cfRule>
    <cfRule type="cellIs" dxfId="306" priority="23" operator="equal">
      <formula>"In-Process"</formula>
    </cfRule>
    <cfRule type="cellIs" dxfId="305" priority="24" operator="equal">
      <formula>"Defer"</formula>
    </cfRule>
    <cfRule type="cellIs" dxfId="304" priority="25" operator="equal">
      <formula>"Closed"</formula>
    </cfRule>
    <cfRule type="cellIs" dxfId="303" priority="26" operator="equal">
      <formula>"Open"</formula>
    </cfRule>
    <cfRule type="cellIs" dxfId="302" priority="27" operator="equal">
      <formula>"WB In-Process"</formula>
    </cfRule>
  </conditionalFormatting>
  <conditionalFormatting sqref="I3:K7">
    <cfRule type="cellIs" dxfId="301" priority="76" operator="equal">
      <formula>"scheduled"</formula>
    </cfRule>
    <cfRule type="cellIs" dxfId="300" priority="77" operator="equal">
      <formula>"defer"</formula>
    </cfRule>
    <cfRule type="cellIs" dxfId="299" priority="78" operator="equal">
      <formula>"open"</formula>
    </cfRule>
    <cfRule type="cellIs" dxfId="298" priority="79" operator="equal">
      <formula>"complete"</formula>
    </cfRule>
    <cfRule type="cellIs" dxfId="297" priority="80" operator="equal">
      <formula>"in process"</formula>
    </cfRule>
  </conditionalFormatting>
  <conditionalFormatting sqref="K2:K14">
    <cfRule type="cellIs" dxfId="296" priority="12" operator="equal">
      <formula>"scheduled"</formula>
    </cfRule>
    <cfRule type="cellIs" dxfId="295" priority="13" operator="equal">
      <formula>"defer"</formula>
    </cfRule>
    <cfRule type="cellIs" dxfId="294" priority="14" operator="equal">
      <formula>"open"</formula>
    </cfRule>
    <cfRule type="cellIs" dxfId="293" priority="15" operator="equal">
      <formula>"complete"</formula>
    </cfRule>
    <cfRule type="cellIs" dxfId="292" priority="16" operator="equal">
      <formula>"in process"</formula>
    </cfRule>
  </conditionalFormatting>
  <conditionalFormatting sqref="L10:L14">
    <cfRule type="expression" dxfId="291" priority="1">
      <formula>L10="High"</formula>
    </cfRule>
    <cfRule type="expression" dxfId="290" priority="2">
      <formula>L10="Very High"</formula>
    </cfRule>
    <cfRule type="cellIs" dxfId="289" priority="3" operator="equal">
      <formula>"Closed"</formula>
    </cfRule>
    <cfRule type="cellIs" dxfId="288" priority="4" operator="equal">
      <formula>"Partial"</formula>
    </cfRule>
    <cfRule type="cellIs" dxfId="287" priority="5" operator="equal">
      <formula>"Data Room"</formula>
    </cfRule>
    <cfRule type="cellIs" dxfId="286" priority="6" operator="equal">
      <formula>"Partial"</formula>
    </cfRule>
    <cfRule type="cellIs" dxfId="285" priority="7" operator="equal">
      <formula>"In-Process"</formula>
    </cfRule>
    <cfRule type="cellIs" dxfId="284" priority="8" operator="equal">
      <formula>"Defer"</formula>
    </cfRule>
    <cfRule type="cellIs" dxfId="283" priority="9" operator="equal">
      <formula>"Closed"</formula>
    </cfRule>
    <cfRule type="cellIs" dxfId="282" priority="10" operator="equal">
      <formula>"Open"</formula>
    </cfRule>
    <cfRule type="cellIs" dxfId="281" priority="11" operator="equal">
      <formula>"WB In-Process"</formula>
    </cfRule>
  </conditionalFormatting>
  <dataValidations count="1">
    <dataValidation type="list" allowBlank="1" showInputMessage="1" showErrorMessage="1" sqref="K10:K14" xr:uid="{9402D1D5-384F-419E-881E-65239EB4BA19}">
      <formula1>$I$3:$I$6</formula1>
    </dataValidation>
  </dataValidations>
  <pageMargins left="0.7" right="0.7" top="0.75" bottom="0.75" header="0.3" footer="0.3"/>
  <pageSetup scale="40" orientation="portrait" r:id="rId1"/>
  <customProperties>
    <customPr name="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0F54B-EC4C-4D8E-B968-36850D057F95}">
  <sheetPr codeName="Sheet4">
    <tabColor theme="4" tint="0.79998168889431442"/>
    <pageSetUpPr fitToPage="1"/>
  </sheetPr>
  <dimension ref="A2:M28"/>
  <sheetViews>
    <sheetView showGridLines="0" view="pageBreakPreview" zoomScaleNormal="70" zoomScaleSheetLayoutView="100" workbookViewId="0">
      <pane xSplit="3" ySplit="9" topLeftCell="D10" activePane="bottomRight" state="frozen"/>
      <selection pane="topRight" activeCell="C370" sqref="C370"/>
      <selection pane="bottomLeft" activeCell="C370" sqref="C37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33203125" style="13" bestFit="1"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3">
      <c r="B2" s="6" t="s">
        <v>3</v>
      </c>
      <c r="C2" s="34"/>
      <c r="D2" s="34"/>
      <c r="E2" s="7"/>
      <c r="F2" s="34"/>
      <c r="G2" s="8"/>
      <c r="H2" s="7"/>
      <c r="I2" s="9" t="s">
        <v>4</v>
      </c>
      <c r="J2" s="10" t="s">
        <v>5</v>
      </c>
      <c r="K2" s="11" t="s">
        <v>6</v>
      </c>
      <c r="L2" s="12"/>
    </row>
    <row r="3" spans="2:13">
      <c r="B3" s="7"/>
      <c r="C3" s="35"/>
      <c r="D3" s="14"/>
      <c r="E3" s="14"/>
      <c r="F3" s="14"/>
      <c r="G3" s="15"/>
      <c r="H3" s="7"/>
      <c r="I3" s="16" t="s">
        <v>7</v>
      </c>
      <c r="J3" s="17">
        <f>+COUNTIFS(K$8:K$1318,$I3)</f>
        <v>0</v>
      </c>
      <c r="K3" s="18">
        <f>J3/$J$7</f>
        <v>0</v>
      </c>
      <c r="L3" s="14"/>
    </row>
    <row r="4" spans="2:13">
      <c r="B4" s="6"/>
      <c r="C4" s="34"/>
      <c r="D4" s="34"/>
      <c r="E4" s="7"/>
      <c r="F4" s="34"/>
      <c r="G4" s="8"/>
      <c r="H4" s="7"/>
      <c r="I4" s="16" t="s">
        <v>8</v>
      </c>
      <c r="J4" s="17">
        <f>+COUNTIFS(K$8:K$1318,$I4)</f>
        <v>0</v>
      </c>
      <c r="K4" s="18">
        <f>J4/$J$7</f>
        <v>0</v>
      </c>
      <c r="L4" s="12"/>
    </row>
    <row r="5" spans="2:13">
      <c r="B5" s="19"/>
      <c r="C5" s="19"/>
      <c r="D5" s="19"/>
      <c r="E5" s="20"/>
      <c r="F5" s="19"/>
      <c r="G5" s="21"/>
      <c r="H5" s="20"/>
      <c r="I5" s="16" t="s">
        <v>9</v>
      </c>
      <c r="J5" s="17">
        <f>+COUNTIFS(K$8:K$1318,$I5)</f>
        <v>18</v>
      </c>
      <c r="K5" s="18">
        <f>J5/$J$7</f>
        <v>1</v>
      </c>
      <c r="L5" s="22"/>
    </row>
    <row r="6" spans="2:13">
      <c r="B6" s="19"/>
      <c r="C6" s="19"/>
      <c r="D6" s="19"/>
      <c r="E6" s="20"/>
      <c r="F6" s="19"/>
      <c r="G6" s="21"/>
      <c r="H6" s="20"/>
      <c r="I6" s="16" t="s">
        <v>10</v>
      </c>
      <c r="J6" s="17">
        <f>+COUNTIFS(K$8:K$1318,$I6)</f>
        <v>0</v>
      </c>
      <c r="K6" s="18">
        <f>J6/$J$7</f>
        <v>0</v>
      </c>
      <c r="L6" s="22"/>
    </row>
    <row r="7" spans="2:13">
      <c r="B7" s="19"/>
      <c r="C7" s="19"/>
      <c r="D7" s="19"/>
      <c r="E7" s="20"/>
      <c r="F7" s="19"/>
      <c r="G7" s="21"/>
      <c r="H7" s="20"/>
      <c r="I7" s="16" t="s">
        <v>11</v>
      </c>
      <c r="J7" s="23">
        <f>+SUM(J3:J6)</f>
        <v>18</v>
      </c>
      <c r="K7" s="24">
        <f>+SUM(K3:K6)</f>
        <v>1</v>
      </c>
      <c r="L7" s="22"/>
    </row>
    <row r="8" spans="2:13">
      <c r="B8" s="19"/>
      <c r="C8" s="19"/>
      <c r="D8" s="19"/>
      <c r="E8" s="20"/>
      <c r="F8" s="19"/>
      <c r="G8" s="21"/>
      <c r="H8" s="15"/>
      <c r="I8" s="7"/>
      <c r="J8" s="43">
        <f>MAX(B:B)-J7</f>
        <v>0</v>
      </c>
      <c r="K8" s="22"/>
      <c r="L8" s="22"/>
    </row>
    <row r="9" spans="2:13" ht="26">
      <c r="B9" s="25" t="s">
        <v>12</v>
      </c>
      <c r="C9" s="25" t="s">
        <v>13</v>
      </c>
      <c r="D9" s="26" t="s">
        <v>14</v>
      </c>
      <c r="E9" s="26" t="s">
        <v>15</v>
      </c>
      <c r="F9" s="25" t="s">
        <v>16</v>
      </c>
      <c r="G9" s="25" t="s">
        <v>17</v>
      </c>
      <c r="H9" s="26" t="s">
        <v>18</v>
      </c>
      <c r="I9" s="25" t="s">
        <v>19</v>
      </c>
      <c r="J9" s="25" t="s">
        <v>20</v>
      </c>
      <c r="K9" s="25" t="s">
        <v>4</v>
      </c>
      <c r="L9" s="26" t="s">
        <v>21</v>
      </c>
    </row>
    <row r="10" spans="2:13" ht="14">
      <c r="B10" s="46">
        <v>1</v>
      </c>
      <c r="C10" s="45" t="s">
        <v>22</v>
      </c>
      <c r="D10" s="38">
        <v>46092</v>
      </c>
      <c r="E10" s="38">
        <v>46094</v>
      </c>
      <c r="F10" s="37" t="s">
        <v>147</v>
      </c>
      <c r="G10" s="30" t="s">
        <v>162</v>
      </c>
      <c r="H10" s="27"/>
      <c r="I10" s="40" t="s">
        <v>163</v>
      </c>
      <c r="J10" s="31" t="s">
        <v>26</v>
      </c>
      <c r="K10" s="146" t="s">
        <v>9</v>
      </c>
      <c r="L10" s="31"/>
      <c r="M10"/>
    </row>
    <row r="11" spans="2:13" ht="26">
      <c r="B11" s="46">
        <f t="shared" ref="B11:B27" si="0">B10+1</f>
        <v>2</v>
      </c>
      <c r="C11" s="45" t="s">
        <v>22</v>
      </c>
      <c r="D11" s="38">
        <v>46092</v>
      </c>
      <c r="E11" s="38">
        <v>46094</v>
      </c>
      <c r="F11" s="37" t="s">
        <v>147</v>
      </c>
      <c r="G11" s="30" t="s">
        <v>164</v>
      </c>
      <c r="H11" s="27"/>
      <c r="I11" s="40" t="s">
        <v>165</v>
      </c>
      <c r="J11" s="31" t="s">
        <v>26</v>
      </c>
      <c r="K11" s="146" t="s">
        <v>9</v>
      </c>
      <c r="L11" s="31" t="s">
        <v>166</v>
      </c>
      <c r="M11"/>
    </row>
    <row r="12" spans="2:13" ht="14">
      <c r="B12" s="46">
        <f t="shared" si="0"/>
        <v>3</v>
      </c>
      <c r="C12" s="45" t="s">
        <v>22</v>
      </c>
      <c r="D12" s="38">
        <v>46092</v>
      </c>
      <c r="E12" s="38">
        <v>46094</v>
      </c>
      <c r="F12" s="37" t="s">
        <v>147</v>
      </c>
      <c r="G12" s="30" t="s">
        <v>167</v>
      </c>
      <c r="H12" s="27"/>
      <c r="I12" s="40" t="s">
        <v>168</v>
      </c>
      <c r="J12" s="31" t="s">
        <v>26</v>
      </c>
      <c r="K12" s="146" t="s">
        <v>9</v>
      </c>
      <c r="L12" s="31"/>
      <c r="M12"/>
    </row>
    <row r="13" spans="2:13" ht="39">
      <c r="B13" s="46">
        <f t="shared" si="0"/>
        <v>4</v>
      </c>
      <c r="C13" s="45" t="s">
        <v>22</v>
      </c>
      <c r="D13" s="38">
        <v>46092</v>
      </c>
      <c r="E13" s="38">
        <v>46094</v>
      </c>
      <c r="F13" s="37" t="s">
        <v>147</v>
      </c>
      <c r="G13" s="30" t="s">
        <v>169</v>
      </c>
      <c r="H13" s="27"/>
      <c r="I13" s="40" t="s">
        <v>170</v>
      </c>
      <c r="J13" s="31" t="s">
        <v>26</v>
      </c>
      <c r="K13" s="146" t="s">
        <v>9</v>
      </c>
      <c r="L13" s="31" t="s">
        <v>171</v>
      </c>
      <c r="M13"/>
    </row>
    <row r="14" spans="2:13" ht="26">
      <c r="B14" s="46">
        <f t="shared" si="0"/>
        <v>5</v>
      </c>
      <c r="C14" s="45" t="s">
        <v>22</v>
      </c>
      <c r="D14" s="38">
        <v>46092</v>
      </c>
      <c r="E14" s="38">
        <v>46094</v>
      </c>
      <c r="F14" s="37" t="s">
        <v>147</v>
      </c>
      <c r="G14" s="30" t="s">
        <v>172</v>
      </c>
      <c r="H14" s="27"/>
      <c r="I14" s="40" t="s">
        <v>173</v>
      </c>
      <c r="J14" s="31" t="s">
        <v>26</v>
      </c>
      <c r="K14" s="146" t="s">
        <v>9</v>
      </c>
      <c r="L14" s="31" t="s">
        <v>174</v>
      </c>
      <c r="M14"/>
    </row>
    <row r="15" spans="2:13" ht="65">
      <c r="B15" s="46">
        <f t="shared" si="0"/>
        <v>6</v>
      </c>
      <c r="C15" s="45" t="s">
        <v>22</v>
      </c>
      <c r="D15" s="38">
        <v>46092</v>
      </c>
      <c r="E15" s="38">
        <v>46094</v>
      </c>
      <c r="F15" s="37" t="s">
        <v>147</v>
      </c>
      <c r="G15" s="30" t="s">
        <v>175</v>
      </c>
      <c r="H15" s="27"/>
      <c r="I15" s="40" t="s">
        <v>176</v>
      </c>
      <c r="J15" s="31" t="s">
        <v>26</v>
      </c>
      <c r="K15" s="146" t="s">
        <v>9</v>
      </c>
      <c r="L15" s="31" t="s">
        <v>177</v>
      </c>
      <c r="M15"/>
    </row>
    <row r="16" spans="2:13" ht="78">
      <c r="B16" s="46">
        <f t="shared" si="0"/>
        <v>7</v>
      </c>
      <c r="C16" s="45" t="s">
        <v>22</v>
      </c>
      <c r="D16" s="38">
        <v>46092</v>
      </c>
      <c r="E16" s="38">
        <v>46094</v>
      </c>
      <c r="F16" s="37" t="s">
        <v>147</v>
      </c>
      <c r="G16" s="30" t="s">
        <v>178</v>
      </c>
      <c r="H16" s="28" t="s">
        <v>179</v>
      </c>
      <c r="I16" s="40" t="s">
        <v>180</v>
      </c>
      <c r="J16" s="31" t="s">
        <v>26</v>
      </c>
      <c r="K16" s="146" t="s">
        <v>9</v>
      </c>
      <c r="L16" s="31"/>
      <c r="M16"/>
    </row>
    <row r="17" spans="1:13" ht="65">
      <c r="B17" s="46">
        <f t="shared" si="0"/>
        <v>8</v>
      </c>
      <c r="C17" s="45" t="s">
        <v>22</v>
      </c>
      <c r="D17" s="38">
        <v>46092</v>
      </c>
      <c r="E17" s="38">
        <v>46094</v>
      </c>
      <c r="F17" s="37" t="s">
        <v>147</v>
      </c>
      <c r="G17" s="30" t="s">
        <v>181</v>
      </c>
      <c r="H17" s="27"/>
      <c r="I17" s="40" t="s">
        <v>182</v>
      </c>
      <c r="J17" s="31" t="s">
        <v>26</v>
      </c>
      <c r="K17" s="146" t="s">
        <v>9</v>
      </c>
      <c r="L17" s="31"/>
      <c r="M17"/>
    </row>
    <row r="18" spans="1:13" ht="39">
      <c r="B18" s="46">
        <f t="shared" si="0"/>
        <v>9</v>
      </c>
      <c r="C18" s="45" t="s">
        <v>22</v>
      </c>
      <c r="D18" s="38">
        <v>46092</v>
      </c>
      <c r="E18" s="38">
        <v>46094</v>
      </c>
      <c r="F18" s="37" t="s">
        <v>147</v>
      </c>
      <c r="G18" s="30" t="s">
        <v>183</v>
      </c>
      <c r="H18" s="27"/>
      <c r="I18" s="40" t="s">
        <v>184</v>
      </c>
      <c r="J18" s="31" t="s">
        <v>26</v>
      </c>
      <c r="K18" s="146" t="s">
        <v>9</v>
      </c>
      <c r="L18" s="31"/>
      <c r="M18"/>
    </row>
    <row r="19" spans="1:13" ht="169">
      <c r="B19" s="46">
        <f t="shared" si="0"/>
        <v>10</v>
      </c>
      <c r="C19" s="45" t="s">
        <v>22</v>
      </c>
      <c r="D19" s="38">
        <v>46092</v>
      </c>
      <c r="E19" s="38">
        <v>46094</v>
      </c>
      <c r="F19" s="37" t="s">
        <v>147</v>
      </c>
      <c r="G19" s="30" t="s">
        <v>185</v>
      </c>
      <c r="H19" s="27"/>
      <c r="I19" s="40" t="s">
        <v>186</v>
      </c>
      <c r="J19" s="31" t="s">
        <v>26</v>
      </c>
      <c r="K19" s="146" t="s">
        <v>9</v>
      </c>
      <c r="L19" s="31"/>
      <c r="M19"/>
    </row>
    <row r="20" spans="1:13" ht="351">
      <c r="B20" s="46">
        <f t="shared" si="0"/>
        <v>11</v>
      </c>
      <c r="C20" s="45" t="s">
        <v>22</v>
      </c>
      <c r="D20" s="38">
        <v>46092</v>
      </c>
      <c r="E20" s="38">
        <v>46094</v>
      </c>
      <c r="F20" s="37" t="s">
        <v>147</v>
      </c>
      <c r="G20" s="30" t="s">
        <v>187</v>
      </c>
      <c r="H20" s="27"/>
      <c r="I20" s="40" t="s">
        <v>188</v>
      </c>
      <c r="J20" s="31" t="s">
        <v>26</v>
      </c>
      <c r="K20" s="146" t="s">
        <v>9</v>
      </c>
      <c r="L20" s="31"/>
      <c r="M20"/>
    </row>
    <row r="21" spans="1:13" ht="39">
      <c r="B21" s="46">
        <f t="shared" si="0"/>
        <v>12</v>
      </c>
      <c r="C21" s="45" t="s">
        <v>22</v>
      </c>
      <c r="D21" s="38">
        <v>46092</v>
      </c>
      <c r="E21" s="36">
        <v>46097</v>
      </c>
      <c r="F21" s="37" t="s">
        <v>147</v>
      </c>
      <c r="G21" s="30" t="s">
        <v>189</v>
      </c>
      <c r="H21" s="27"/>
      <c r="I21" s="40" t="s">
        <v>190</v>
      </c>
      <c r="J21" s="31" t="s">
        <v>26</v>
      </c>
      <c r="K21" s="146" t="s">
        <v>9</v>
      </c>
      <c r="L21" s="31"/>
      <c r="M21"/>
    </row>
    <row r="22" spans="1:13" ht="26">
      <c r="B22" s="46">
        <f t="shared" si="0"/>
        <v>13</v>
      </c>
      <c r="C22" s="45" t="s">
        <v>22</v>
      </c>
      <c r="D22" s="38">
        <v>46092</v>
      </c>
      <c r="E22" s="36">
        <v>46097</v>
      </c>
      <c r="F22" s="37" t="s">
        <v>147</v>
      </c>
      <c r="G22" s="30" t="s">
        <v>191</v>
      </c>
      <c r="H22" s="27"/>
      <c r="I22" s="40" t="s">
        <v>192</v>
      </c>
      <c r="J22" s="31" t="s">
        <v>26</v>
      </c>
      <c r="K22" s="146" t="s">
        <v>9</v>
      </c>
      <c r="L22" s="31" t="s">
        <v>193</v>
      </c>
      <c r="M22"/>
    </row>
    <row r="23" spans="1:13" ht="26">
      <c r="B23" s="46">
        <f t="shared" si="0"/>
        <v>14</v>
      </c>
      <c r="C23" s="45" t="s">
        <v>22</v>
      </c>
      <c r="D23" s="38">
        <v>46092</v>
      </c>
      <c r="E23" s="38">
        <v>46093</v>
      </c>
      <c r="F23" s="37" t="s">
        <v>147</v>
      </c>
      <c r="G23" s="30" t="s">
        <v>194</v>
      </c>
      <c r="H23" s="27"/>
      <c r="I23" s="40" t="s">
        <v>195</v>
      </c>
      <c r="J23" s="31" t="s">
        <v>26</v>
      </c>
      <c r="K23" s="146" t="s">
        <v>9</v>
      </c>
      <c r="L23" s="31"/>
      <c r="M23"/>
    </row>
    <row r="24" spans="1:13" ht="14">
      <c r="B24" s="46">
        <f t="shared" si="0"/>
        <v>15</v>
      </c>
      <c r="C24" s="45" t="s">
        <v>22</v>
      </c>
      <c r="D24" s="38">
        <v>46092</v>
      </c>
      <c r="E24" s="38">
        <v>46093</v>
      </c>
      <c r="F24" s="37" t="s">
        <v>147</v>
      </c>
      <c r="G24" s="30" t="s">
        <v>196</v>
      </c>
      <c r="H24" s="27"/>
      <c r="I24" s="40" t="s">
        <v>195</v>
      </c>
      <c r="J24" s="31" t="s">
        <v>26</v>
      </c>
      <c r="K24" s="146" t="s">
        <v>9</v>
      </c>
      <c r="L24" s="31"/>
      <c r="M24"/>
    </row>
    <row r="25" spans="1:13" ht="26">
      <c r="B25" s="46">
        <f t="shared" si="0"/>
        <v>16</v>
      </c>
      <c r="C25" s="45" t="s">
        <v>22</v>
      </c>
      <c r="D25" s="38">
        <v>46092</v>
      </c>
      <c r="E25" s="38">
        <v>46093</v>
      </c>
      <c r="F25" s="37" t="s">
        <v>147</v>
      </c>
      <c r="G25" s="30" t="s">
        <v>197</v>
      </c>
      <c r="H25" s="27"/>
      <c r="I25" s="40" t="s">
        <v>195</v>
      </c>
      <c r="J25" s="31" t="s">
        <v>26</v>
      </c>
      <c r="K25" s="146" t="s">
        <v>9</v>
      </c>
      <c r="L25" s="31"/>
      <c r="M25"/>
    </row>
    <row r="26" spans="1:13" ht="14">
      <c r="B26" s="46">
        <f t="shared" si="0"/>
        <v>17</v>
      </c>
      <c r="C26" s="45" t="s">
        <v>22</v>
      </c>
      <c r="D26" s="38">
        <v>46092</v>
      </c>
      <c r="E26" s="38">
        <v>46093</v>
      </c>
      <c r="F26" s="37" t="s">
        <v>147</v>
      </c>
      <c r="G26" s="30" t="s">
        <v>198</v>
      </c>
      <c r="H26" s="27"/>
      <c r="I26" s="40" t="s">
        <v>199</v>
      </c>
      <c r="J26" s="31" t="s">
        <v>26</v>
      </c>
      <c r="K26" s="146" t="s">
        <v>9</v>
      </c>
      <c r="L26" s="31"/>
      <c r="M26"/>
    </row>
    <row r="27" spans="1:13" ht="26">
      <c r="B27" s="46">
        <f t="shared" si="0"/>
        <v>18</v>
      </c>
      <c r="C27" s="45" t="s">
        <v>22</v>
      </c>
      <c r="D27" s="38">
        <v>46092</v>
      </c>
      <c r="E27" s="38">
        <v>46093</v>
      </c>
      <c r="F27" s="37" t="s">
        <v>147</v>
      </c>
      <c r="G27" s="30" t="s">
        <v>200</v>
      </c>
      <c r="H27" s="27"/>
      <c r="I27" s="40" t="s">
        <v>199</v>
      </c>
      <c r="J27" s="31" t="s">
        <v>26</v>
      </c>
      <c r="K27" s="146" t="s">
        <v>9</v>
      </c>
      <c r="L27" s="31"/>
      <c r="M27"/>
    </row>
    <row r="28" spans="1:13">
      <c r="A28" s="13" t="s">
        <v>149</v>
      </c>
      <c r="B28" s="13" t="s">
        <v>149</v>
      </c>
      <c r="C28" s="13" t="s">
        <v>149</v>
      </c>
      <c r="D28" s="13" t="s">
        <v>149</v>
      </c>
      <c r="E28" s="13" t="s">
        <v>149</v>
      </c>
      <c r="F28" s="13" t="s">
        <v>149</v>
      </c>
      <c r="G28" s="13" t="s">
        <v>149</v>
      </c>
      <c r="H28" s="13" t="s">
        <v>149</v>
      </c>
      <c r="I28" s="13" t="s">
        <v>149</v>
      </c>
      <c r="J28" s="13" t="s">
        <v>149</v>
      </c>
      <c r="K28" s="13" t="s">
        <v>149</v>
      </c>
      <c r="L28" s="13" t="s">
        <v>149</v>
      </c>
    </row>
  </sheetData>
  <autoFilter ref="B9:L9" xr:uid="{262D484F-FD24-4B41-840B-4E727D26D9FE}"/>
  <conditionalFormatting sqref="G10:G27">
    <cfRule type="expression" dxfId="280" priority="65">
      <formula>G10="High"</formula>
    </cfRule>
    <cfRule type="expression" dxfId="279" priority="66">
      <formula>G10="Very High"</formula>
    </cfRule>
    <cfRule type="cellIs" dxfId="278" priority="67" operator="equal">
      <formula>"Closed"</formula>
    </cfRule>
    <cfRule type="cellIs" dxfId="277" priority="68" operator="equal">
      <formula>"Partial"</formula>
    </cfRule>
    <cfRule type="cellIs" dxfId="276" priority="69" operator="equal">
      <formula>"Data Room"</formula>
    </cfRule>
    <cfRule type="cellIs" dxfId="275" priority="70" operator="equal">
      <formula>"Partial"</formula>
    </cfRule>
    <cfRule type="cellIs" dxfId="274" priority="71" operator="equal">
      <formula>"In-Process"</formula>
    </cfRule>
    <cfRule type="cellIs" dxfId="273" priority="72" operator="equal">
      <formula>"Defer"</formula>
    </cfRule>
    <cfRule type="cellIs" dxfId="272" priority="73" operator="equal">
      <formula>"Closed"</formula>
    </cfRule>
    <cfRule type="cellIs" dxfId="271" priority="74" operator="equal">
      <formula>"Open"</formula>
    </cfRule>
    <cfRule type="cellIs" dxfId="270" priority="75" operator="equal">
      <formula>"WB In-Process"</formula>
    </cfRule>
  </conditionalFormatting>
  <conditionalFormatting sqref="I10:J27">
    <cfRule type="expression" dxfId="269" priority="1">
      <formula>I10="High"</formula>
    </cfRule>
    <cfRule type="expression" dxfId="268" priority="2">
      <formula>I10="Very High"</formula>
    </cfRule>
    <cfRule type="cellIs" dxfId="267" priority="3" operator="equal">
      <formula>"Closed"</formula>
    </cfRule>
    <cfRule type="cellIs" dxfId="266" priority="4" operator="equal">
      <formula>"Partial"</formula>
    </cfRule>
    <cfRule type="cellIs" dxfId="265" priority="5" operator="equal">
      <formula>"Data Room"</formula>
    </cfRule>
    <cfRule type="cellIs" dxfId="264" priority="6" operator="equal">
      <formula>"Partial"</formula>
    </cfRule>
    <cfRule type="cellIs" dxfId="263" priority="7" operator="equal">
      <formula>"In-Process"</formula>
    </cfRule>
    <cfRule type="cellIs" dxfId="262" priority="8" operator="equal">
      <formula>"Defer"</formula>
    </cfRule>
    <cfRule type="cellIs" dxfId="261" priority="9" operator="equal">
      <formula>"Closed"</formula>
    </cfRule>
    <cfRule type="cellIs" dxfId="260" priority="10" operator="equal">
      <formula>"Open"</formula>
    </cfRule>
    <cfRule type="cellIs" dxfId="259" priority="11" operator="equal">
      <formula>"WB In-Process"</formula>
    </cfRule>
  </conditionalFormatting>
  <conditionalFormatting sqref="I3:K7">
    <cfRule type="cellIs" dxfId="258" priority="76" operator="equal">
      <formula>"scheduled"</formula>
    </cfRule>
    <cfRule type="cellIs" dxfId="257" priority="77" operator="equal">
      <formula>"defer"</formula>
    </cfRule>
    <cfRule type="cellIs" dxfId="256" priority="78" operator="equal">
      <formula>"open"</formula>
    </cfRule>
    <cfRule type="cellIs" dxfId="255" priority="79" operator="equal">
      <formula>"complete"</formula>
    </cfRule>
    <cfRule type="cellIs" dxfId="254" priority="80" operator="equal">
      <formula>"in process"</formula>
    </cfRule>
  </conditionalFormatting>
  <conditionalFormatting sqref="K2:K27">
    <cfRule type="cellIs" dxfId="253" priority="23" operator="equal">
      <formula>"scheduled"</formula>
    </cfRule>
    <cfRule type="cellIs" dxfId="252" priority="24" operator="equal">
      <formula>"defer"</formula>
    </cfRule>
    <cfRule type="cellIs" dxfId="251" priority="25" operator="equal">
      <formula>"open"</formula>
    </cfRule>
    <cfRule type="cellIs" dxfId="250" priority="26" operator="equal">
      <formula>"complete"</formula>
    </cfRule>
    <cfRule type="cellIs" dxfId="249" priority="27" operator="equal">
      <formula>"in process"</formula>
    </cfRule>
  </conditionalFormatting>
  <conditionalFormatting sqref="L10:L27">
    <cfRule type="expression" dxfId="248" priority="12">
      <formula>L10="High"</formula>
    </cfRule>
    <cfRule type="expression" dxfId="247" priority="13">
      <formula>L10="Very High"</formula>
    </cfRule>
    <cfRule type="cellIs" dxfId="246" priority="14" operator="equal">
      <formula>"Closed"</formula>
    </cfRule>
    <cfRule type="cellIs" dxfId="245" priority="15" operator="equal">
      <formula>"Partial"</formula>
    </cfRule>
    <cfRule type="cellIs" dxfId="244" priority="16" operator="equal">
      <formula>"Data Room"</formula>
    </cfRule>
    <cfRule type="cellIs" dxfId="243" priority="17" operator="equal">
      <formula>"Partial"</formula>
    </cfRule>
    <cfRule type="cellIs" dxfId="242" priority="18" operator="equal">
      <formula>"In-Process"</formula>
    </cfRule>
    <cfRule type="cellIs" dxfId="241" priority="19" operator="equal">
      <formula>"Defer"</formula>
    </cfRule>
    <cfRule type="cellIs" dxfId="240" priority="20" operator="equal">
      <formula>"Closed"</formula>
    </cfRule>
    <cfRule type="cellIs" dxfId="239" priority="21" operator="equal">
      <formula>"Open"</formula>
    </cfRule>
    <cfRule type="cellIs" dxfId="238" priority="22" operator="equal">
      <formula>"WB In-Process"</formula>
    </cfRule>
  </conditionalFormatting>
  <dataValidations count="1">
    <dataValidation type="list" allowBlank="1" showInputMessage="1" showErrorMessage="1" sqref="K10:K27" xr:uid="{9CDCDBB8-50CA-4F5F-A94E-D8656FDB5470}">
      <formula1>$I$3:$I$6</formula1>
    </dataValidation>
  </dataValidations>
  <pageMargins left="0.7" right="0.7" top="0.75" bottom="0.75" header="0.3" footer="0.3"/>
  <pageSetup scale="4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9826-13F6-4B70-8C11-C6075635DB84}">
  <sheetPr codeName="Sheet5">
    <tabColor theme="4" tint="0.79998168889431442"/>
    <pageSetUpPr fitToPage="1"/>
  </sheetPr>
  <dimension ref="A2:M20"/>
  <sheetViews>
    <sheetView showGridLines="0" view="pageBreakPreview" zoomScaleNormal="70" zoomScaleSheetLayoutView="100" workbookViewId="0">
      <pane xSplit="3" ySplit="9" topLeftCell="D10" activePane="bottomRight" state="frozen"/>
      <selection pane="topRight" activeCell="C370" sqref="C370"/>
      <selection pane="bottomLeft" activeCell="C370" sqref="C37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3">
      <c r="B2" s="6" t="s">
        <v>3</v>
      </c>
      <c r="C2" s="34"/>
      <c r="D2" s="34"/>
      <c r="E2" s="7"/>
      <c r="F2" s="34"/>
      <c r="G2" s="8"/>
      <c r="H2" s="7"/>
      <c r="I2" s="9" t="s">
        <v>4</v>
      </c>
      <c r="J2" s="10" t="s">
        <v>5</v>
      </c>
      <c r="K2" s="11" t="s">
        <v>6</v>
      </c>
      <c r="L2" s="12"/>
    </row>
    <row r="3" spans="2:13">
      <c r="B3" s="7"/>
      <c r="C3" s="35"/>
      <c r="D3" s="14"/>
      <c r="E3" s="14"/>
      <c r="F3" s="14"/>
      <c r="G3" s="15"/>
      <c r="H3" s="7"/>
      <c r="I3" s="16" t="s">
        <v>7</v>
      </c>
      <c r="J3" s="17">
        <f>+COUNTIFS(K$8:K$1310,$I3)</f>
        <v>0</v>
      </c>
      <c r="K3" s="18">
        <f>J3/$J$7</f>
        <v>0</v>
      </c>
      <c r="L3" s="14"/>
    </row>
    <row r="4" spans="2:13">
      <c r="B4" s="6"/>
      <c r="C4" s="34"/>
      <c r="D4" s="34"/>
      <c r="E4" s="7"/>
      <c r="F4" s="34"/>
      <c r="G4" s="8"/>
      <c r="H4" s="7"/>
      <c r="I4" s="16" t="s">
        <v>8</v>
      </c>
      <c r="J4" s="17">
        <f>+COUNTIFS(K$8:K$1310,$I4)</f>
        <v>0</v>
      </c>
      <c r="K4" s="18">
        <f>J4/$J$7</f>
        <v>0</v>
      </c>
      <c r="L4" s="12"/>
    </row>
    <row r="5" spans="2:13">
      <c r="B5" s="19"/>
      <c r="C5" s="19"/>
      <c r="D5" s="19"/>
      <c r="E5" s="20"/>
      <c r="F5" s="19"/>
      <c r="G5" s="21"/>
      <c r="H5" s="20"/>
      <c r="I5" s="16" t="s">
        <v>9</v>
      </c>
      <c r="J5" s="17">
        <f>+COUNTIFS(K$8:K$1310,$I5)</f>
        <v>10</v>
      </c>
      <c r="K5" s="18">
        <f>J5/$J$7</f>
        <v>1</v>
      </c>
      <c r="L5" s="22"/>
    </row>
    <row r="6" spans="2:13">
      <c r="B6" s="19"/>
      <c r="C6" s="19"/>
      <c r="D6" s="19"/>
      <c r="E6" s="20"/>
      <c r="F6" s="19"/>
      <c r="G6" s="21"/>
      <c r="H6" s="20"/>
      <c r="I6" s="16" t="s">
        <v>10</v>
      </c>
      <c r="J6" s="17">
        <f>+COUNTIFS(K$8:K$1310,$I6)</f>
        <v>0</v>
      </c>
      <c r="K6" s="18">
        <f>J6/$J$7</f>
        <v>0</v>
      </c>
      <c r="L6" s="22"/>
    </row>
    <row r="7" spans="2:13">
      <c r="B7" s="19"/>
      <c r="C7" s="19"/>
      <c r="D7" s="19"/>
      <c r="E7" s="20"/>
      <c r="F7" s="19"/>
      <c r="G7" s="21"/>
      <c r="H7" s="20"/>
      <c r="I7" s="16" t="s">
        <v>11</v>
      </c>
      <c r="J7" s="23">
        <f>+SUM(J3:J6)</f>
        <v>10</v>
      </c>
      <c r="K7" s="24">
        <f>+SUM(K3:K6)</f>
        <v>1</v>
      </c>
      <c r="L7" s="22"/>
    </row>
    <row r="8" spans="2:13">
      <c r="B8" s="19"/>
      <c r="C8" s="19"/>
      <c r="D8" s="19"/>
      <c r="E8" s="20"/>
      <c r="F8" s="19"/>
      <c r="G8" s="21"/>
      <c r="H8" s="15"/>
      <c r="I8" s="7"/>
      <c r="J8" s="43">
        <f>MAX(B:B)-J7</f>
        <v>0</v>
      </c>
      <c r="K8" s="22"/>
      <c r="L8" s="22"/>
    </row>
    <row r="9" spans="2:13" ht="26">
      <c r="B9" s="25" t="s">
        <v>12</v>
      </c>
      <c r="C9" s="25" t="s">
        <v>13</v>
      </c>
      <c r="D9" s="26" t="s">
        <v>14</v>
      </c>
      <c r="E9" s="26" t="s">
        <v>15</v>
      </c>
      <c r="F9" s="25" t="s">
        <v>16</v>
      </c>
      <c r="G9" s="25" t="s">
        <v>17</v>
      </c>
      <c r="H9" s="26" t="s">
        <v>18</v>
      </c>
      <c r="I9" s="25" t="s">
        <v>19</v>
      </c>
      <c r="J9" s="25" t="s">
        <v>20</v>
      </c>
      <c r="K9" s="25" t="s">
        <v>4</v>
      </c>
      <c r="L9" s="26" t="s">
        <v>21</v>
      </c>
    </row>
    <row r="10" spans="2:13" ht="117">
      <c r="B10" s="46">
        <v>1</v>
      </c>
      <c r="C10" s="45" t="s">
        <v>22</v>
      </c>
      <c r="D10" s="38">
        <v>46092</v>
      </c>
      <c r="E10" s="36">
        <v>46094</v>
      </c>
      <c r="F10" s="37" t="s">
        <v>201</v>
      </c>
      <c r="G10" s="30" t="s">
        <v>202</v>
      </c>
      <c r="H10" s="28" t="s">
        <v>203</v>
      </c>
      <c r="I10" s="40" t="s">
        <v>204</v>
      </c>
      <c r="J10" s="31" t="s">
        <v>205</v>
      </c>
      <c r="K10" s="146" t="s">
        <v>9</v>
      </c>
      <c r="L10" s="31" t="s">
        <v>206</v>
      </c>
      <c r="M10"/>
    </row>
    <row r="11" spans="2:13" ht="130">
      <c r="B11" s="46">
        <f t="shared" ref="B11:B19" si="0">B10+1</f>
        <v>2</v>
      </c>
      <c r="C11" s="45" t="s">
        <v>22</v>
      </c>
      <c r="D11" s="38">
        <v>46092</v>
      </c>
      <c r="E11" s="36">
        <v>46094</v>
      </c>
      <c r="F11" s="37" t="s">
        <v>201</v>
      </c>
      <c r="G11" s="30" t="s">
        <v>207</v>
      </c>
      <c r="H11" s="28" t="s">
        <v>208</v>
      </c>
      <c r="I11" s="40" t="s">
        <v>209</v>
      </c>
      <c r="J11" s="31" t="s">
        <v>205</v>
      </c>
      <c r="K11" s="146" t="s">
        <v>9</v>
      </c>
      <c r="L11" s="31" t="s">
        <v>210</v>
      </c>
      <c r="M11"/>
    </row>
    <row r="12" spans="2:13" ht="52">
      <c r="B12" s="46">
        <f t="shared" si="0"/>
        <v>3</v>
      </c>
      <c r="C12" s="45" t="s">
        <v>22</v>
      </c>
      <c r="D12" s="38">
        <v>46092</v>
      </c>
      <c r="E12" s="36">
        <v>46094</v>
      </c>
      <c r="F12" s="37" t="s">
        <v>201</v>
      </c>
      <c r="G12" s="30" t="s">
        <v>211</v>
      </c>
      <c r="H12" s="28" t="s">
        <v>212</v>
      </c>
      <c r="I12" s="40" t="s">
        <v>213</v>
      </c>
      <c r="J12" s="31" t="s">
        <v>26</v>
      </c>
      <c r="K12" s="146" t="s">
        <v>9</v>
      </c>
      <c r="L12" s="31" t="s">
        <v>214</v>
      </c>
      <c r="M12"/>
    </row>
    <row r="13" spans="2:13" ht="39">
      <c r="B13" s="46">
        <f t="shared" si="0"/>
        <v>4</v>
      </c>
      <c r="C13" s="45" t="s">
        <v>22</v>
      </c>
      <c r="D13" s="38">
        <v>46092</v>
      </c>
      <c r="E13" s="36">
        <v>46094</v>
      </c>
      <c r="F13" s="37" t="s">
        <v>201</v>
      </c>
      <c r="G13" s="30" t="s">
        <v>215</v>
      </c>
      <c r="H13" s="27"/>
      <c r="I13" s="40" t="s">
        <v>213</v>
      </c>
      <c r="J13" s="31" t="s">
        <v>96</v>
      </c>
      <c r="K13" s="146" t="s">
        <v>9</v>
      </c>
      <c r="L13" s="31" t="s">
        <v>214</v>
      </c>
      <c r="M13"/>
    </row>
    <row r="14" spans="2:13" ht="26">
      <c r="B14" s="46">
        <f t="shared" si="0"/>
        <v>5</v>
      </c>
      <c r="C14" s="45" t="s">
        <v>22</v>
      </c>
      <c r="D14" s="38">
        <v>46092</v>
      </c>
      <c r="E14" s="36">
        <v>46101</v>
      </c>
      <c r="F14" s="37" t="s">
        <v>201</v>
      </c>
      <c r="G14" s="30" t="s">
        <v>216</v>
      </c>
      <c r="H14" s="27"/>
      <c r="I14" s="40" t="s">
        <v>217</v>
      </c>
      <c r="J14" s="31" t="s">
        <v>26</v>
      </c>
      <c r="K14" s="146" t="s">
        <v>9</v>
      </c>
      <c r="L14" s="31"/>
      <c r="M14"/>
    </row>
    <row r="15" spans="2:13" ht="26">
      <c r="B15" s="46">
        <f t="shared" si="0"/>
        <v>6</v>
      </c>
      <c r="C15" s="45" t="s">
        <v>22</v>
      </c>
      <c r="D15" s="38">
        <v>46092</v>
      </c>
      <c r="E15" s="36">
        <v>46101</v>
      </c>
      <c r="F15" s="37" t="s">
        <v>201</v>
      </c>
      <c r="G15" s="30" t="s">
        <v>218</v>
      </c>
      <c r="H15" s="27"/>
      <c r="I15" s="40" t="s">
        <v>217</v>
      </c>
      <c r="J15" s="31" t="s">
        <v>26</v>
      </c>
      <c r="K15" s="146" t="s">
        <v>9</v>
      </c>
      <c r="L15" s="31"/>
      <c r="M15"/>
    </row>
    <row r="16" spans="2:13" ht="26">
      <c r="B16" s="46">
        <f t="shared" si="0"/>
        <v>7</v>
      </c>
      <c r="C16" s="45" t="s">
        <v>22</v>
      </c>
      <c r="D16" s="38">
        <v>46092</v>
      </c>
      <c r="E16" s="36">
        <v>46094</v>
      </c>
      <c r="F16" s="37" t="s">
        <v>201</v>
      </c>
      <c r="G16" s="30" t="s">
        <v>219</v>
      </c>
      <c r="H16" s="27"/>
      <c r="I16" s="40" t="s">
        <v>199</v>
      </c>
      <c r="J16" s="31" t="s">
        <v>100</v>
      </c>
      <c r="K16" s="146" t="s">
        <v>9</v>
      </c>
      <c r="L16" s="31"/>
      <c r="M16"/>
    </row>
    <row r="17" spans="1:13" ht="14">
      <c r="B17" s="46">
        <f t="shared" si="0"/>
        <v>8</v>
      </c>
      <c r="C17" s="45" t="s">
        <v>22</v>
      </c>
      <c r="D17" s="38">
        <v>46092</v>
      </c>
      <c r="E17" s="36">
        <v>46098</v>
      </c>
      <c r="F17" s="37" t="s">
        <v>201</v>
      </c>
      <c r="G17" s="30" t="s">
        <v>220</v>
      </c>
      <c r="H17" s="27"/>
      <c r="I17" s="40" t="s">
        <v>199</v>
      </c>
      <c r="J17" s="31" t="s">
        <v>26</v>
      </c>
      <c r="K17" s="146" t="s">
        <v>9</v>
      </c>
      <c r="L17" s="31"/>
      <c r="M17"/>
    </row>
    <row r="18" spans="1:13" ht="130">
      <c r="B18" s="46">
        <f t="shared" si="0"/>
        <v>9</v>
      </c>
      <c r="C18" s="45" t="s">
        <v>22</v>
      </c>
      <c r="D18" s="38">
        <v>46092</v>
      </c>
      <c r="E18" s="36">
        <v>46094</v>
      </c>
      <c r="F18" s="37" t="s">
        <v>201</v>
      </c>
      <c r="G18" s="30" t="s">
        <v>221</v>
      </c>
      <c r="H18" s="27"/>
      <c r="I18" s="40" t="s">
        <v>222</v>
      </c>
      <c r="J18" s="31" t="s">
        <v>26</v>
      </c>
      <c r="K18" s="146" t="s">
        <v>9</v>
      </c>
      <c r="L18" s="31" t="s">
        <v>223</v>
      </c>
      <c r="M18"/>
    </row>
    <row r="19" spans="1:13" ht="52">
      <c r="B19" s="46">
        <f t="shared" si="0"/>
        <v>10</v>
      </c>
      <c r="C19" s="45" t="s">
        <v>22</v>
      </c>
      <c r="D19" s="38">
        <v>46092</v>
      </c>
      <c r="E19" s="36">
        <v>46097</v>
      </c>
      <c r="F19" s="37" t="s">
        <v>201</v>
      </c>
      <c r="G19" s="30" t="s">
        <v>224</v>
      </c>
      <c r="H19" s="28" t="s">
        <v>225</v>
      </c>
      <c r="I19" s="40" t="s">
        <v>226</v>
      </c>
      <c r="J19" s="31" t="s">
        <v>26</v>
      </c>
      <c r="K19" s="146" t="s">
        <v>9</v>
      </c>
      <c r="L19" s="31"/>
      <c r="M19"/>
    </row>
    <row r="20" spans="1:13">
      <c r="A20" s="13" t="s">
        <v>149</v>
      </c>
      <c r="B20" s="13" t="s">
        <v>149</v>
      </c>
      <c r="C20" s="13" t="s">
        <v>149</v>
      </c>
      <c r="D20" s="13" t="s">
        <v>149</v>
      </c>
      <c r="E20" s="13" t="s">
        <v>149</v>
      </c>
      <c r="F20" s="13" t="s">
        <v>149</v>
      </c>
      <c r="G20" s="13" t="s">
        <v>149</v>
      </c>
      <c r="H20" s="13" t="s">
        <v>149</v>
      </c>
      <c r="I20" s="13" t="s">
        <v>149</v>
      </c>
      <c r="J20" s="13" t="s">
        <v>149</v>
      </c>
      <c r="K20" s="13" t="s">
        <v>149</v>
      </c>
      <c r="L20" s="13" t="s">
        <v>149</v>
      </c>
    </row>
  </sheetData>
  <autoFilter ref="B9:L9" xr:uid="{262D484F-FD24-4B41-840B-4E727D26D9FE}"/>
  <conditionalFormatting sqref="G10:G19 I10:J19 L10:L19">
    <cfRule type="expression" dxfId="237" priority="43">
      <formula>G10="High"</formula>
    </cfRule>
    <cfRule type="expression" dxfId="236" priority="44">
      <formula>G10="Very High"</formula>
    </cfRule>
    <cfRule type="cellIs" dxfId="235" priority="45" operator="equal">
      <formula>"Closed"</formula>
    </cfRule>
    <cfRule type="cellIs" dxfId="234" priority="46" operator="equal">
      <formula>"Partial"</formula>
    </cfRule>
    <cfRule type="cellIs" dxfId="233" priority="47" operator="equal">
      <formula>"Data Room"</formula>
    </cfRule>
    <cfRule type="cellIs" dxfId="232" priority="48" operator="equal">
      <formula>"Partial"</formula>
    </cfRule>
    <cfRule type="cellIs" dxfId="231" priority="49" operator="equal">
      <formula>"In-Process"</formula>
    </cfRule>
    <cfRule type="cellIs" dxfId="230" priority="50" operator="equal">
      <formula>"Defer"</formula>
    </cfRule>
    <cfRule type="cellIs" dxfId="229" priority="51" operator="equal">
      <formula>"Closed"</formula>
    </cfRule>
    <cfRule type="cellIs" dxfId="228" priority="52" operator="equal">
      <formula>"Open"</formula>
    </cfRule>
    <cfRule type="cellIs" dxfId="227" priority="53" operator="equal">
      <formula>"WB In-Process"</formula>
    </cfRule>
  </conditionalFormatting>
  <conditionalFormatting sqref="I3:K7">
    <cfRule type="cellIs" dxfId="226" priority="54" operator="equal">
      <formula>"scheduled"</formula>
    </cfRule>
    <cfRule type="cellIs" dxfId="225" priority="55" operator="equal">
      <formula>"defer"</formula>
    </cfRule>
    <cfRule type="cellIs" dxfId="224" priority="56" operator="equal">
      <formula>"open"</formula>
    </cfRule>
    <cfRule type="cellIs" dxfId="223" priority="57" operator="equal">
      <formula>"complete"</formula>
    </cfRule>
    <cfRule type="cellIs" dxfId="222" priority="58" operator="equal">
      <formula>"in process"</formula>
    </cfRule>
  </conditionalFormatting>
  <conditionalFormatting sqref="K2:K19">
    <cfRule type="cellIs" dxfId="221" priority="1" operator="equal">
      <formula>"scheduled"</formula>
    </cfRule>
    <cfRule type="cellIs" dxfId="220" priority="2" operator="equal">
      <formula>"defer"</formula>
    </cfRule>
    <cfRule type="cellIs" dxfId="219" priority="3" operator="equal">
      <formula>"open"</formula>
    </cfRule>
    <cfRule type="cellIs" dxfId="218" priority="4" operator="equal">
      <formula>"complete"</formula>
    </cfRule>
    <cfRule type="cellIs" dxfId="217" priority="5" operator="equal">
      <formula>"in process"</formula>
    </cfRule>
  </conditionalFormatting>
  <dataValidations count="1">
    <dataValidation type="list" allowBlank="1" showInputMessage="1" showErrorMessage="1" sqref="K10:K19" xr:uid="{CB6AEF3A-2031-47B3-8B76-867823A49455}">
      <formula1>$I$3:$I$6</formula1>
    </dataValidation>
  </dataValidations>
  <pageMargins left="0.7" right="0.7" top="0.75" bottom="0.75" header="0.3" footer="0.3"/>
  <pageSetup scale="4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B19C-E3C5-4976-A6FC-11B613C76A09}">
  <sheetPr codeName="Sheet6">
    <tabColor theme="4" tint="0.79998168889431442"/>
    <pageSetUpPr fitToPage="1"/>
  </sheetPr>
  <dimension ref="A2:L63"/>
  <sheetViews>
    <sheetView showGridLines="0" view="pageBreakPreview" zoomScaleNormal="85" zoomScaleSheetLayoutView="100" workbookViewId="0">
      <pane xSplit="3" ySplit="9" topLeftCell="D10" activePane="bottomRight" state="frozen"/>
      <selection pane="topRight" activeCell="C370" sqref="C370"/>
      <selection pane="bottomLeft" activeCell="C370" sqref="C37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2">
      <c r="B2" s="6" t="s">
        <v>3</v>
      </c>
      <c r="C2" s="34"/>
      <c r="D2" s="34"/>
      <c r="E2" s="7"/>
      <c r="F2" s="34"/>
      <c r="G2" s="8"/>
      <c r="H2" s="7"/>
      <c r="I2" s="9" t="s">
        <v>4</v>
      </c>
      <c r="J2" s="10" t="s">
        <v>5</v>
      </c>
      <c r="K2" s="11" t="s">
        <v>6</v>
      </c>
      <c r="L2" s="12"/>
    </row>
    <row r="3" spans="2:12">
      <c r="B3" s="7"/>
      <c r="C3" s="35"/>
      <c r="D3" s="14"/>
      <c r="E3" s="14"/>
      <c r="F3" s="14"/>
      <c r="G3" s="15"/>
      <c r="H3" s="7"/>
      <c r="I3" s="16" t="s">
        <v>7</v>
      </c>
      <c r="J3" s="17">
        <f>+COUNTIFS(K$8:K$1354,$I3)</f>
        <v>0</v>
      </c>
      <c r="K3" s="18">
        <f>J3/$J$7</f>
        <v>0</v>
      </c>
      <c r="L3" s="14"/>
    </row>
    <row r="4" spans="2:12">
      <c r="B4" s="6"/>
      <c r="C4" s="34"/>
      <c r="D4" s="34"/>
      <c r="E4" s="7"/>
      <c r="F4" s="34"/>
      <c r="G4" s="8"/>
      <c r="H4" s="7"/>
      <c r="I4" s="16" t="s">
        <v>8</v>
      </c>
      <c r="J4" s="17">
        <f>+COUNTIFS(K$8:K$1354,$I4)</f>
        <v>0</v>
      </c>
      <c r="K4" s="18">
        <f>J4/$J$7</f>
        <v>0</v>
      </c>
      <c r="L4" s="12"/>
    </row>
    <row r="5" spans="2:12">
      <c r="B5" s="19"/>
      <c r="C5" s="19"/>
      <c r="D5" s="19"/>
      <c r="E5" s="20"/>
      <c r="F5" s="19"/>
      <c r="G5" s="21"/>
      <c r="H5" s="20"/>
      <c r="I5" s="16" t="s">
        <v>9</v>
      </c>
      <c r="J5" s="17">
        <f>+COUNTIFS(K$8:K$1354,$I5)</f>
        <v>53</v>
      </c>
      <c r="K5" s="18">
        <f>J5/$J$7</f>
        <v>1</v>
      </c>
      <c r="L5" s="22"/>
    </row>
    <row r="6" spans="2:12">
      <c r="B6" s="19"/>
      <c r="C6" s="19"/>
      <c r="D6" s="19"/>
      <c r="E6" s="20"/>
      <c r="F6" s="19"/>
      <c r="G6" s="21"/>
      <c r="H6" s="20"/>
      <c r="I6" s="16" t="s">
        <v>10</v>
      </c>
      <c r="J6" s="17">
        <f>+COUNTIFS(K$8:K$1354,$I6)</f>
        <v>0</v>
      </c>
      <c r="K6" s="18">
        <f>J6/$J$7</f>
        <v>0</v>
      </c>
      <c r="L6" s="22"/>
    </row>
    <row r="7" spans="2:12">
      <c r="B7" s="19"/>
      <c r="C7" s="19"/>
      <c r="D7" s="19"/>
      <c r="E7" s="20"/>
      <c r="F7" s="19"/>
      <c r="G7" s="21"/>
      <c r="H7" s="20"/>
      <c r="I7" s="16" t="s">
        <v>11</v>
      </c>
      <c r="J7" s="23">
        <f>+SUM(J3:J6)</f>
        <v>53</v>
      </c>
      <c r="K7" s="24">
        <f>+SUM(K3:K6)</f>
        <v>1</v>
      </c>
      <c r="L7" s="22"/>
    </row>
    <row r="8" spans="2:12">
      <c r="B8" s="19"/>
      <c r="C8" s="19"/>
      <c r="D8" s="19"/>
      <c r="E8" s="20"/>
      <c r="F8" s="19"/>
      <c r="G8" s="21"/>
      <c r="H8" s="15"/>
      <c r="I8" s="7"/>
      <c r="J8" s="43">
        <f>MAX(B:B)-J7</f>
        <v>0</v>
      </c>
      <c r="K8" s="22"/>
      <c r="L8" s="22"/>
    </row>
    <row r="9" spans="2:12" ht="26">
      <c r="B9" s="25" t="s">
        <v>12</v>
      </c>
      <c r="C9" s="25" t="s">
        <v>13</v>
      </c>
      <c r="D9" s="26" t="s">
        <v>14</v>
      </c>
      <c r="E9" s="26" t="s">
        <v>15</v>
      </c>
      <c r="F9" s="25" t="s">
        <v>16</v>
      </c>
      <c r="G9" s="25" t="s">
        <v>17</v>
      </c>
      <c r="H9" s="26" t="s">
        <v>18</v>
      </c>
      <c r="I9" s="25" t="s">
        <v>19</v>
      </c>
      <c r="J9" s="25" t="s">
        <v>20</v>
      </c>
      <c r="K9" s="25" t="s">
        <v>4</v>
      </c>
      <c r="L9" s="26" t="s">
        <v>21</v>
      </c>
    </row>
    <row r="10" spans="2:12" ht="39">
      <c r="B10" s="46">
        <v>1</v>
      </c>
      <c r="C10" s="45" t="s">
        <v>22</v>
      </c>
      <c r="D10" s="38">
        <v>46092</v>
      </c>
      <c r="E10" s="36">
        <v>46094</v>
      </c>
      <c r="F10" s="37" t="s">
        <v>227</v>
      </c>
      <c r="G10" s="30" t="s">
        <v>228</v>
      </c>
      <c r="H10" s="28" t="s">
        <v>229</v>
      </c>
      <c r="I10" s="40" t="s">
        <v>230</v>
      </c>
      <c r="J10" s="31" t="s">
        <v>26</v>
      </c>
      <c r="K10" s="146" t="s">
        <v>9</v>
      </c>
      <c r="L10" s="31"/>
    </row>
    <row r="11" spans="2:12" ht="78">
      <c r="B11" s="46">
        <f t="shared" ref="B11:B13" si="0">B10+1</f>
        <v>2</v>
      </c>
      <c r="C11" s="45" t="s">
        <v>22</v>
      </c>
      <c r="D11" s="38">
        <v>46092</v>
      </c>
      <c r="E11" s="36">
        <v>46094</v>
      </c>
      <c r="F11" s="37" t="s">
        <v>227</v>
      </c>
      <c r="G11" s="30" t="s">
        <v>231</v>
      </c>
      <c r="H11" s="27"/>
      <c r="I11" s="40" t="s">
        <v>232</v>
      </c>
      <c r="J11" s="31" t="s">
        <v>26</v>
      </c>
      <c r="K11" s="146" t="s">
        <v>9</v>
      </c>
      <c r="L11" s="31"/>
    </row>
    <row r="12" spans="2:12" ht="78">
      <c r="B12" s="46">
        <f t="shared" si="0"/>
        <v>3</v>
      </c>
      <c r="C12" s="45" t="s">
        <v>22</v>
      </c>
      <c r="D12" s="38">
        <v>46092</v>
      </c>
      <c r="E12" s="36">
        <v>46094</v>
      </c>
      <c r="F12" s="37" t="s">
        <v>227</v>
      </c>
      <c r="G12" s="30" t="s">
        <v>233</v>
      </c>
      <c r="H12" s="27"/>
      <c r="I12" s="40" t="s">
        <v>234</v>
      </c>
      <c r="J12" s="31" t="s">
        <v>235</v>
      </c>
      <c r="K12" s="146" t="s">
        <v>9</v>
      </c>
      <c r="L12" s="31" t="s">
        <v>236</v>
      </c>
    </row>
    <row r="13" spans="2:12" ht="39">
      <c r="B13" s="46">
        <f t="shared" si="0"/>
        <v>4</v>
      </c>
      <c r="C13" s="45" t="s">
        <v>22</v>
      </c>
      <c r="D13" s="38">
        <v>46092</v>
      </c>
      <c r="E13" s="36">
        <v>46094</v>
      </c>
      <c r="F13" s="37" t="s">
        <v>227</v>
      </c>
      <c r="G13" s="30" t="s">
        <v>237</v>
      </c>
      <c r="H13" s="28" t="s">
        <v>238</v>
      </c>
      <c r="I13" s="40" t="s">
        <v>239</v>
      </c>
      <c r="J13" s="31" t="s">
        <v>235</v>
      </c>
      <c r="K13" s="146" t="s">
        <v>9</v>
      </c>
      <c r="L13" s="31" t="s">
        <v>240</v>
      </c>
    </row>
    <row r="14" spans="2:12" ht="39">
      <c r="B14" s="46">
        <f t="shared" ref="B14:B62" si="1">B13+1</f>
        <v>5</v>
      </c>
      <c r="C14" s="45" t="s">
        <v>22</v>
      </c>
      <c r="D14" s="38">
        <v>46092</v>
      </c>
      <c r="E14" s="36">
        <v>46094</v>
      </c>
      <c r="F14" s="37" t="s">
        <v>227</v>
      </c>
      <c r="G14" s="30" t="s">
        <v>241</v>
      </c>
      <c r="H14" s="27"/>
      <c r="I14" s="40" t="s">
        <v>242</v>
      </c>
      <c r="J14" s="31" t="s">
        <v>235</v>
      </c>
      <c r="K14" s="146" t="s">
        <v>9</v>
      </c>
      <c r="L14" s="31"/>
    </row>
    <row r="15" spans="2:12" ht="156">
      <c r="B15" s="46">
        <f t="shared" si="1"/>
        <v>6</v>
      </c>
      <c r="C15" s="45" t="s">
        <v>22</v>
      </c>
      <c r="D15" s="38">
        <v>46092</v>
      </c>
      <c r="E15" s="36">
        <v>46094</v>
      </c>
      <c r="F15" s="37" t="s">
        <v>227</v>
      </c>
      <c r="G15" s="30" t="s">
        <v>243</v>
      </c>
      <c r="H15" s="28" t="s">
        <v>244</v>
      </c>
      <c r="I15" s="40" t="s">
        <v>245</v>
      </c>
      <c r="J15" s="31" t="s">
        <v>235</v>
      </c>
      <c r="K15" s="146" t="s">
        <v>9</v>
      </c>
      <c r="L15" s="31" t="s">
        <v>246</v>
      </c>
    </row>
    <row r="16" spans="2:12" ht="26">
      <c r="B16" s="46">
        <f t="shared" si="1"/>
        <v>7</v>
      </c>
      <c r="C16" s="45" t="s">
        <v>22</v>
      </c>
      <c r="D16" s="38">
        <v>46092</v>
      </c>
      <c r="E16" s="36">
        <v>46094</v>
      </c>
      <c r="F16" s="37" t="s">
        <v>227</v>
      </c>
      <c r="G16" s="30" t="s">
        <v>247</v>
      </c>
      <c r="H16" s="27"/>
      <c r="I16" s="40" t="s">
        <v>248</v>
      </c>
      <c r="J16" s="31" t="s">
        <v>235</v>
      </c>
      <c r="K16" s="146" t="s">
        <v>9</v>
      </c>
      <c r="L16" s="31"/>
    </row>
    <row r="17" spans="2:12" ht="65">
      <c r="B17" s="46">
        <f t="shared" si="1"/>
        <v>8</v>
      </c>
      <c r="C17" s="45" t="s">
        <v>22</v>
      </c>
      <c r="D17" s="38">
        <v>46092</v>
      </c>
      <c r="E17" s="36">
        <v>46094</v>
      </c>
      <c r="F17" s="37" t="s">
        <v>227</v>
      </c>
      <c r="G17" s="30" t="s">
        <v>249</v>
      </c>
      <c r="H17" s="28" t="s">
        <v>250</v>
      </c>
      <c r="I17" s="40" t="s">
        <v>251</v>
      </c>
      <c r="J17" s="31" t="s">
        <v>235</v>
      </c>
      <c r="K17" s="146" t="s">
        <v>9</v>
      </c>
      <c r="L17" s="31"/>
    </row>
    <row r="18" spans="2:12">
      <c r="B18" s="46">
        <f t="shared" si="1"/>
        <v>9</v>
      </c>
      <c r="C18" s="45" t="s">
        <v>22</v>
      </c>
      <c r="D18" s="38">
        <v>46092</v>
      </c>
      <c r="E18" s="36">
        <v>46094</v>
      </c>
      <c r="F18" s="37" t="s">
        <v>227</v>
      </c>
      <c r="G18" s="30" t="s">
        <v>252</v>
      </c>
      <c r="H18" s="27"/>
      <c r="I18" s="40" t="s">
        <v>253</v>
      </c>
      <c r="J18" s="31" t="s">
        <v>235</v>
      </c>
      <c r="K18" s="146" t="s">
        <v>9</v>
      </c>
      <c r="L18" s="31"/>
    </row>
    <row r="19" spans="2:12" ht="39">
      <c r="B19" s="46">
        <f t="shared" si="1"/>
        <v>10</v>
      </c>
      <c r="C19" s="45" t="s">
        <v>22</v>
      </c>
      <c r="D19" s="38">
        <v>46092</v>
      </c>
      <c r="E19" s="36">
        <v>46094</v>
      </c>
      <c r="F19" s="37" t="s">
        <v>227</v>
      </c>
      <c r="G19" s="30" t="s">
        <v>254</v>
      </c>
      <c r="H19" s="27"/>
      <c r="I19" s="40" t="s">
        <v>255</v>
      </c>
      <c r="J19" s="31" t="s">
        <v>26</v>
      </c>
      <c r="K19" s="146" t="s">
        <v>9</v>
      </c>
      <c r="L19" s="31" t="s">
        <v>256</v>
      </c>
    </row>
    <row r="20" spans="2:12" ht="39">
      <c r="B20" s="46">
        <f t="shared" si="1"/>
        <v>11</v>
      </c>
      <c r="C20" s="45" t="s">
        <v>22</v>
      </c>
      <c r="D20" s="38">
        <v>46092</v>
      </c>
      <c r="E20" s="36">
        <v>46094</v>
      </c>
      <c r="F20" s="37" t="s">
        <v>227</v>
      </c>
      <c r="G20" s="30" t="s">
        <v>257</v>
      </c>
      <c r="H20" s="27"/>
      <c r="I20" s="40" t="s">
        <v>199</v>
      </c>
      <c r="J20" s="31" t="s">
        <v>26</v>
      </c>
      <c r="K20" s="146" t="s">
        <v>9</v>
      </c>
      <c r="L20" s="31"/>
    </row>
    <row r="21" spans="2:12" ht="78">
      <c r="B21" s="46">
        <f t="shared" si="1"/>
        <v>12</v>
      </c>
      <c r="C21" s="45" t="s">
        <v>22</v>
      </c>
      <c r="D21" s="38">
        <v>46092</v>
      </c>
      <c r="E21" s="36">
        <v>46094</v>
      </c>
      <c r="F21" s="37" t="s">
        <v>227</v>
      </c>
      <c r="G21" s="30" t="s">
        <v>258</v>
      </c>
      <c r="H21" s="27"/>
      <c r="I21" s="40" t="s">
        <v>259</v>
      </c>
      <c r="J21" s="31" t="s">
        <v>26</v>
      </c>
      <c r="K21" s="146" t="s">
        <v>9</v>
      </c>
      <c r="L21" s="31" t="s">
        <v>260</v>
      </c>
    </row>
    <row r="22" spans="2:12" ht="26">
      <c r="B22" s="46">
        <f t="shared" si="1"/>
        <v>13</v>
      </c>
      <c r="C22" s="45" t="s">
        <v>22</v>
      </c>
      <c r="D22" s="38">
        <v>46092</v>
      </c>
      <c r="E22" s="36">
        <v>46094</v>
      </c>
      <c r="F22" s="37" t="s">
        <v>227</v>
      </c>
      <c r="G22" s="30" t="s">
        <v>261</v>
      </c>
      <c r="H22" s="27"/>
      <c r="I22" s="40" t="s">
        <v>262</v>
      </c>
      <c r="J22" s="31" t="s">
        <v>26</v>
      </c>
      <c r="K22" s="146" t="s">
        <v>9</v>
      </c>
      <c r="L22" s="31"/>
    </row>
    <row r="23" spans="2:12" ht="39">
      <c r="B23" s="46">
        <f t="shared" si="1"/>
        <v>14</v>
      </c>
      <c r="C23" s="45" t="s">
        <v>22</v>
      </c>
      <c r="D23" s="38">
        <v>46092</v>
      </c>
      <c r="E23" s="36">
        <v>46094</v>
      </c>
      <c r="F23" s="37" t="s">
        <v>227</v>
      </c>
      <c r="G23" s="30" t="s">
        <v>263</v>
      </c>
      <c r="H23" s="28" t="s">
        <v>264</v>
      </c>
      <c r="I23" s="40" t="s">
        <v>265</v>
      </c>
      <c r="J23" s="31" t="s">
        <v>26</v>
      </c>
      <c r="K23" s="146" t="s">
        <v>9</v>
      </c>
      <c r="L23" s="31" t="s">
        <v>266</v>
      </c>
    </row>
    <row r="24" spans="2:12" ht="39">
      <c r="B24" s="46">
        <f t="shared" si="1"/>
        <v>15</v>
      </c>
      <c r="C24" s="45" t="s">
        <v>22</v>
      </c>
      <c r="D24" s="38">
        <v>46092</v>
      </c>
      <c r="E24" s="36">
        <v>46094</v>
      </c>
      <c r="F24" s="37" t="s">
        <v>227</v>
      </c>
      <c r="G24" s="30" t="s">
        <v>267</v>
      </c>
      <c r="H24" s="28" t="s">
        <v>268</v>
      </c>
      <c r="I24" s="40" t="s">
        <v>269</v>
      </c>
      <c r="J24" s="31" t="s">
        <v>26</v>
      </c>
      <c r="K24" s="146" t="s">
        <v>9</v>
      </c>
      <c r="L24" s="31" t="s">
        <v>270</v>
      </c>
    </row>
    <row r="25" spans="2:12" ht="78">
      <c r="B25" s="46">
        <f t="shared" si="1"/>
        <v>16</v>
      </c>
      <c r="C25" s="45" t="s">
        <v>22</v>
      </c>
      <c r="D25" s="38">
        <v>46092</v>
      </c>
      <c r="E25" s="36">
        <v>46106</v>
      </c>
      <c r="F25" s="37" t="s">
        <v>227</v>
      </c>
      <c r="G25" s="30" t="s">
        <v>271</v>
      </c>
      <c r="H25" s="28" t="s">
        <v>272</v>
      </c>
      <c r="I25" s="40" t="s">
        <v>273</v>
      </c>
      <c r="J25" s="31" t="s">
        <v>26</v>
      </c>
      <c r="K25" s="146" t="s">
        <v>9</v>
      </c>
      <c r="L25" s="31" t="s">
        <v>274</v>
      </c>
    </row>
    <row r="26" spans="2:12" ht="71">
      <c r="B26" s="46">
        <f t="shared" si="1"/>
        <v>17</v>
      </c>
      <c r="C26" s="45" t="s">
        <v>22</v>
      </c>
      <c r="D26" s="38">
        <v>46092</v>
      </c>
      <c r="E26" s="36">
        <v>46101</v>
      </c>
      <c r="F26" s="37" t="s">
        <v>227</v>
      </c>
      <c r="G26" s="30" t="s">
        <v>275</v>
      </c>
      <c r="H26" s="28" t="s">
        <v>276</v>
      </c>
      <c r="I26" s="40" t="s">
        <v>277</v>
      </c>
      <c r="J26" s="31" t="s">
        <v>26</v>
      </c>
      <c r="K26" s="146" t="s">
        <v>9</v>
      </c>
      <c r="L26" s="31" t="s">
        <v>278</v>
      </c>
    </row>
    <row r="27" spans="2:12" ht="65">
      <c r="B27" s="46">
        <f t="shared" si="1"/>
        <v>18</v>
      </c>
      <c r="C27" s="45" t="s">
        <v>22</v>
      </c>
      <c r="D27" s="38">
        <v>46092</v>
      </c>
      <c r="E27" s="36">
        <v>46094</v>
      </c>
      <c r="F27" s="37" t="s">
        <v>227</v>
      </c>
      <c r="G27" s="30" t="s">
        <v>279</v>
      </c>
      <c r="H27" s="28" t="s">
        <v>280</v>
      </c>
      <c r="I27" s="40" t="s">
        <v>281</v>
      </c>
      <c r="J27" s="31" t="s">
        <v>26</v>
      </c>
      <c r="K27" s="175" t="s">
        <v>9</v>
      </c>
      <c r="L27" s="31" t="s">
        <v>282</v>
      </c>
    </row>
    <row r="28" spans="2:12" ht="26">
      <c r="B28" s="46">
        <f t="shared" si="1"/>
        <v>19</v>
      </c>
      <c r="C28" s="45" t="s">
        <v>22</v>
      </c>
      <c r="D28" s="38">
        <v>46092</v>
      </c>
      <c r="E28" s="36">
        <v>46094</v>
      </c>
      <c r="F28" s="37" t="s">
        <v>227</v>
      </c>
      <c r="G28" s="30" t="s">
        <v>283</v>
      </c>
      <c r="H28" s="27"/>
      <c r="I28" s="40" t="s">
        <v>284</v>
      </c>
      <c r="J28" s="31" t="s">
        <v>96</v>
      </c>
      <c r="K28" s="146" t="s">
        <v>9</v>
      </c>
      <c r="L28" s="31" t="s">
        <v>285</v>
      </c>
    </row>
    <row r="29" spans="2:12">
      <c r="B29" s="46">
        <f t="shared" si="1"/>
        <v>20</v>
      </c>
      <c r="C29" s="45" t="s">
        <v>22</v>
      </c>
      <c r="D29" s="38">
        <v>46092</v>
      </c>
      <c r="E29" s="36">
        <v>46094</v>
      </c>
      <c r="F29" s="37" t="s">
        <v>227</v>
      </c>
      <c r="G29" s="30" t="s">
        <v>286</v>
      </c>
      <c r="H29" s="27"/>
      <c r="I29" s="40" t="s">
        <v>287</v>
      </c>
      <c r="J29" s="31" t="s">
        <v>100</v>
      </c>
      <c r="K29" s="146" t="s">
        <v>9</v>
      </c>
      <c r="L29" s="31" t="s">
        <v>288</v>
      </c>
    </row>
    <row r="30" spans="2:12">
      <c r="B30" s="46">
        <f t="shared" si="1"/>
        <v>21</v>
      </c>
      <c r="C30" s="45" t="s">
        <v>22</v>
      </c>
      <c r="D30" s="38">
        <v>46092</v>
      </c>
      <c r="E30" s="36">
        <v>46094</v>
      </c>
      <c r="F30" s="37" t="s">
        <v>227</v>
      </c>
      <c r="G30" s="30" t="s">
        <v>289</v>
      </c>
      <c r="H30" s="27"/>
      <c r="I30" s="40" t="s">
        <v>284</v>
      </c>
      <c r="J30" s="31" t="s">
        <v>26</v>
      </c>
      <c r="K30" s="146" t="s">
        <v>9</v>
      </c>
      <c r="L30" s="31" t="s">
        <v>285</v>
      </c>
    </row>
    <row r="31" spans="2:12" ht="65">
      <c r="B31" s="46">
        <f t="shared" si="1"/>
        <v>22</v>
      </c>
      <c r="C31" s="45" t="s">
        <v>22</v>
      </c>
      <c r="D31" s="38">
        <v>46092</v>
      </c>
      <c r="E31" s="36">
        <v>46094</v>
      </c>
      <c r="F31" s="37" t="s">
        <v>227</v>
      </c>
      <c r="G31" s="30" t="s">
        <v>290</v>
      </c>
      <c r="H31" s="28" t="s">
        <v>291</v>
      </c>
      <c r="I31" s="40" t="s">
        <v>292</v>
      </c>
      <c r="J31" s="31" t="s">
        <v>26</v>
      </c>
      <c r="K31" s="146" t="s">
        <v>9</v>
      </c>
      <c r="L31" s="31" t="s">
        <v>293</v>
      </c>
    </row>
    <row r="32" spans="2:12" ht="39">
      <c r="B32" s="46">
        <f t="shared" si="1"/>
        <v>23</v>
      </c>
      <c r="C32" s="45" t="s">
        <v>22</v>
      </c>
      <c r="D32" s="38">
        <v>46092</v>
      </c>
      <c r="E32" s="36">
        <v>46094</v>
      </c>
      <c r="F32" s="37" t="s">
        <v>227</v>
      </c>
      <c r="G32" s="30" t="s">
        <v>294</v>
      </c>
      <c r="H32" s="27" t="s">
        <v>295</v>
      </c>
      <c r="I32" s="40" t="s">
        <v>296</v>
      </c>
      <c r="J32" s="31" t="s">
        <v>96</v>
      </c>
      <c r="K32" s="146" t="s">
        <v>9</v>
      </c>
      <c r="L32" s="31" t="s">
        <v>246</v>
      </c>
    </row>
    <row r="33" spans="2:12" ht="39">
      <c r="B33" s="46">
        <f t="shared" si="1"/>
        <v>24</v>
      </c>
      <c r="C33" s="45" t="s">
        <v>22</v>
      </c>
      <c r="D33" s="38">
        <v>46092</v>
      </c>
      <c r="E33" s="36">
        <v>46094</v>
      </c>
      <c r="F33" s="37" t="s">
        <v>227</v>
      </c>
      <c r="G33" s="30" t="s">
        <v>297</v>
      </c>
      <c r="H33" s="27"/>
      <c r="I33" s="40" t="s">
        <v>199</v>
      </c>
      <c r="J33" s="31" t="s">
        <v>235</v>
      </c>
      <c r="K33" s="146" t="s">
        <v>9</v>
      </c>
      <c r="L33" s="31"/>
    </row>
    <row r="34" spans="2:12" ht="39">
      <c r="B34" s="46">
        <f t="shared" si="1"/>
        <v>25</v>
      </c>
      <c r="C34" s="45" t="s">
        <v>22</v>
      </c>
      <c r="D34" s="38">
        <v>46092</v>
      </c>
      <c r="E34" s="36">
        <v>46094</v>
      </c>
      <c r="F34" s="37" t="s">
        <v>227</v>
      </c>
      <c r="G34" s="30" t="s">
        <v>298</v>
      </c>
      <c r="H34" s="27" t="s">
        <v>299</v>
      </c>
      <c r="I34" s="40" t="s">
        <v>199</v>
      </c>
      <c r="J34" s="31" t="s">
        <v>26</v>
      </c>
      <c r="K34" s="146" t="s">
        <v>9</v>
      </c>
      <c r="L34" s="31"/>
    </row>
    <row r="35" spans="2:12" ht="39">
      <c r="B35" s="46">
        <f t="shared" si="1"/>
        <v>26</v>
      </c>
      <c r="C35" s="45" t="s">
        <v>22</v>
      </c>
      <c r="D35" s="38">
        <v>46092</v>
      </c>
      <c r="E35" s="36">
        <v>46094</v>
      </c>
      <c r="F35" s="37" t="s">
        <v>227</v>
      </c>
      <c r="G35" s="30" t="s">
        <v>300</v>
      </c>
      <c r="H35" s="27" t="s">
        <v>299</v>
      </c>
      <c r="I35" s="40" t="s">
        <v>199</v>
      </c>
      <c r="J35" s="31" t="s">
        <v>26</v>
      </c>
      <c r="K35" s="146" t="s">
        <v>9</v>
      </c>
      <c r="L35" s="31"/>
    </row>
    <row r="36" spans="2:12" ht="39">
      <c r="B36" s="46">
        <f t="shared" si="1"/>
        <v>27</v>
      </c>
      <c r="C36" s="45" t="s">
        <v>22</v>
      </c>
      <c r="D36" s="38">
        <v>46092</v>
      </c>
      <c r="E36" s="36">
        <v>46094</v>
      </c>
      <c r="F36" s="37" t="s">
        <v>227</v>
      </c>
      <c r="G36" s="30" t="s">
        <v>301</v>
      </c>
      <c r="H36" s="27" t="s">
        <v>299</v>
      </c>
      <c r="I36" s="40" t="s">
        <v>199</v>
      </c>
      <c r="J36" s="31" t="s">
        <v>96</v>
      </c>
      <c r="K36" s="146" t="s">
        <v>9</v>
      </c>
      <c r="L36" s="31"/>
    </row>
    <row r="37" spans="2:12" ht="52">
      <c r="B37" s="46">
        <f t="shared" si="1"/>
        <v>28</v>
      </c>
      <c r="C37" s="45" t="s">
        <v>22</v>
      </c>
      <c r="D37" s="38">
        <v>46092</v>
      </c>
      <c r="E37" s="36">
        <v>46094</v>
      </c>
      <c r="F37" s="37" t="s">
        <v>227</v>
      </c>
      <c r="G37" s="30" t="s">
        <v>302</v>
      </c>
      <c r="H37" s="27" t="s">
        <v>299</v>
      </c>
      <c r="I37" s="40" t="s">
        <v>199</v>
      </c>
      <c r="J37" s="31" t="s">
        <v>96</v>
      </c>
      <c r="K37" s="146" t="s">
        <v>9</v>
      </c>
      <c r="L37" s="31"/>
    </row>
    <row r="38" spans="2:12" ht="26">
      <c r="B38" s="46">
        <f t="shared" si="1"/>
        <v>29</v>
      </c>
      <c r="C38" s="45" t="s">
        <v>22</v>
      </c>
      <c r="D38" s="38">
        <v>46092</v>
      </c>
      <c r="E38" s="36">
        <v>46094</v>
      </c>
      <c r="F38" s="37" t="s">
        <v>227</v>
      </c>
      <c r="G38" s="30" t="s">
        <v>303</v>
      </c>
      <c r="H38" s="27" t="s">
        <v>299</v>
      </c>
      <c r="I38" s="40" t="s">
        <v>199</v>
      </c>
      <c r="J38" s="31" t="s">
        <v>100</v>
      </c>
      <c r="K38" s="146" t="s">
        <v>9</v>
      </c>
      <c r="L38" s="31"/>
    </row>
    <row r="39" spans="2:12" ht="26">
      <c r="B39" s="46">
        <f t="shared" si="1"/>
        <v>30</v>
      </c>
      <c r="C39" s="45" t="s">
        <v>22</v>
      </c>
      <c r="D39" s="38">
        <v>46092</v>
      </c>
      <c r="E39" s="36">
        <v>46094</v>
      </c>
      <c r="F39" s="37" t="s">
        <v>227</v>
      </c>
      <c r="G39" s="30" t="s">
        <v>304</v>
      </c>
      <c r="H39" s="27" t="s">
        <v>299</v>
      </c>
      <c r="I39" s="40" t="s">
        <v>199</v>
      </c>
      <c r="J39" s="31" t="s">
        <v>100</v>
      </c>
      <c r="K39" s="146" t="s">
        <v>9</v>
      </c>
      <c r="L39" s="31"/>
    </row>
    <row r="40" spans="2:12" ht="65">
      <c r="B40" s="46">
        <f t="shared" si="1"/>
        <v>31</v>
      </c>
      <c r="C40" s="45" t="s">
        <v>22</v>
      </c>
      <c r="D40" s="38">
        <v>46092</v>
      </c>
      <c r="E40" s="36">
        <v>46094</v>
      </c>
      <c r="F40" s="37" t="s">
        <v>227</v>
      </c>
      <c r="G40" s="30" t="s">
        <v>305</v>
      </c>
      <c r="H40" s="27"/>
      <c r="I40" s="40" t="s">
        <v>248</v>
      </c>
      <c r="J40" s="31" t="s">
        <v>235</v>
      </c>
      <c r="K40" s="146" t="s">
        <v>9</v>
      </c>
      <c r="L40" s="31"/>
    </row>
    <row r="41" spans="2:12" ht="52">
      <c r="B41" s="46">
        <f t="shared" si="1"/>
        <v>32</v>
      </c>
      <c r="C41" s="45" t="s">
        <v>22</v>
      </c>
      <c r="D41" s="38">
        <v>46092</v>
      </c>
      <c r="E41" s="36">
        <v>46101</v>
      </c>
      <c r="F41" s="37" t="s">
        <v>227</v>
      </c>
      <c r="G41" s="30" t="s">
        <v>306</v>
      </c>
      <c r="H41" s="28" t="s">
        <v>307</v>
      </c>
      <c r="I41" s="40" t="s">
        <v>308</v>
      </c>
      <c r="J41" s="31" t="s">
        <v>26</v>
      </c>
      <c r="K41" s="146" t="s">
        <v>9</v>
      </c>
      <c r="L41" s="31" t="s">
        <v>309</v>
      </c>
    </row>
    <row r="42" spans="2:12" ht="26">
      <c r="B42" s="46">
        <f t="shared" si="1"/>
        <v>33</v>
      </c>
      <c r="C42" s="45" t="s">
        <v>22</v>
      </c>
      <c r="D42" s="38">
        <v>46092</v>
      </c>
      <c r="E42" s="36">
        <v>46094</v>
      </c>
      <c r="F42" s="37" t="s">
        <v>227</v>
      </c>
      <c r="G42" s="30" t="s">
        <v>310</v>
      </c>
      <c r="H42" s="28" t="s">
        <v>311</v>
      </c>
      <c r="I42" s="40" t="s">
        <v>312</v>
      </c>
      <c r="J42" s="31" t="s">
        <v>96</v>
      </c>
      <c r="K42" s="146" t="s">
        <v>9</v>
      </c>
      <c r="L42" s="31"/>
    </row>
    <row r="43" spans="2:12" ht="26">
      <c r="B43" s="46">
        <f t="shared" si="1"/>
        <v>34</v>
      </c>
      <c r="C43" s="45" t="s">
        <v>22</v>
      </c>
      <c r="D43" s="38">
        <v>46092</v>
      </c>
      <c r="E43" s="36">
        <v>46094</v>
      </c>
      <c r="F43" s="37" t="s">
        <v>227</v>
      </c>
      <c r="G43" s="30" t="s">
        <v>313</v>
      </c>
      <c r="H43" s="28"/>
      <c r="I43" s="40" t="s">
        <v>314</v>
      </c>
      <c r="J43" s="31" t="s">
        <v>96</v>
      </c>
      <c r="K43" s="146" t="s">
        <v>9</v>
      </c>
      <c r="L43" s="31"/>
    </row>
    <row r="44" spans="2:12">
      <c r="B44" s="46">
        <f t="shared" si="1"/>
        <v>35</v>
      </c>
      <c r="C44" s="45" t="s">
        <v>22</v>
      </c>
      <c r="D44" s="38">
        <v>46092</v>
      </c>
      <c r="E44" s="36">
        <v>46094</v>
      </c>
      <c r="F44" s="37" t="s">
        <v>227</v>
      </c>
      <c r="G44" s="30" t="s">
        <v>315</v>
      </c>
      <c r="H44" s="28" t="s">
        <v>316</v>
      </c>
      <c r="I44" s="40" t="s">
        <v>317</v>
      </c>
      <c r="J44" s="31" t="s">
        <v>26</v>
      </c>
      <c r="K44" s="146" t="s">
        <v>9</v>
      </c>
      <c r="L44" s="31" t="s">
        <v>318</v>
      </c>
    </row>
    <row r="45" spans="2:12" ht="208">
      <c r="B45" s="46">
        <f t="shared" si="1"/>
        <v>36</v>
      </c>
      <c r="C45" s="45" t="s">
        <v>22</v>
      </c>
      <c r="D45" s="38">
        <v>46092</v>
      </c>
      <c r="E45" s="36">
        <v>46094</v>
      </c>
      <c r="F45" s="37" t="s">
        <v>227</v>
      </c>
      <c r="G45" s="30" t="s">
        <v>319</v>
      </c>
      <c r="H45" s="28" t="s">
        <v>320</v>
      </c>
      <c r="I45" s="40" t="s">
        <v>321</v>
      </c>
      <c r="J45" s="31" t="s">
        <v>96</v>
      </c>
      <c r="K45" s="146" t="s">
        <v>9</v>
      </c>
      <c r="L45" s="31"/>
    </row>
    <row r="46" spans="2:12">
      <c r="B46" s="46">
        <f t="shared" si="1"/>
        <v>37</v>
      </c>
      <c r="C46" s="45" t="s">
        <v>22</v>
      </c>
      <c r="D46" s="38">
        <v>46092</v>
      </c>
      <c r="E46" s="36">
        <v>46094</v>
      </c>
      <c r="F46" s="37" t="s">
        <v>227</v>
      </c>
      <c r="G46" s="30" t="s">
        <v>322</v>
      </c>
      <c r="H46" s="27" t="s">
        <v>323</v>
      </c>
      <c r="I46" s="40" t="s">
        <v>199</v>
      </c>
      <c r="J46" s="31" t="s">
        <v>100</v>
      </c>
      <c r="K46" s="146" t="s">
        <v>9</v>
      </c>
      <c r="L46" s="31"/>
    </row>
    <row r="47" spans="2:12" ht="52">
      <c r="B47" s="46">
        <f t="shared" si="1"/>
        <v>38</v>
      </c>
      <c r="C47" s="45" t="s">
        <v>22</v>
      </c>
      <c r="D47" s="38">
        <v>46092</v>
      </c>
      <c r="E47" s="36">
        <v>46094</v>
      </c>
      <c r="F47" s="37" t="s">
        <v>227</v>
      </c>
      <c r="G47" s="30" t="s">
        <v>324</v>
      </c>
      <c r="H47" s="28" t="s">
        <v>325</v>
      </c>
      <c r="I47" s="40" t="s">
        <v>326</v>
      </c>
      <c r="J47" s="31" t="s">
        <v>235</v>
      </c>
      <c r="K47" s="146" t="s">
        <v>9</v>
      </c>
      <c r="L47" s="31" t="s">
        <v>236</v>
      </c>
    </row>
    <row r="48" spans="2:12" ht="65">
      <c r="B48" s="46">
        <f t="shared" si="1"/>
        <v>39</v>
      </c>
      <c r="C48" s="45" t="s">
        <v>22</v>
      </c>
      <c r="D48" s="38">
        <v>46092</v>
      </c>
      <c r="E48" s="36">
        <v>46094</v>
      </c>
      <c r="F48" s="37" t="s">
        <v>227</v>
      </c>
      <c r="G48" s="30" t="s">
        <v>327</v>
      </c>
      <c r="H48" s="27" t="s">
        <v>328</v>
      </c>
      <c r="I48" s="40" t="s">
        <v>329</v>
      </c>
      <c r="J48" s="31" t="s">
        <v>26</v>
      </c>
      <c r="K48" s="146" t="s">
        <v>9</v>
      </c>
      <c r="L48" s="31" t="s">
        <v>236</v>
      </c>
    </row>
    <row r="49" spans="1:12" ht="52">
      <c r="B49" s="46">
        <f t="shared" si="1"/>
        <v>40</v>
      </c>
      <c r="C49" s="45" t="s">
        <v>22</v>
      </c>
      <c r="D49" s="38">
        <v>46092</v>
      </c>
      <c r="E49" s="36">
        <v>46094</v>
      </c>
      <c r="F49" s="37" t="s">
        <v>227</v>
      </c>
      <c r="G49" s="30" t="s">
        <v>330</v>
      </c>
      <c r="H49" s="27"/>
      <c r="I49" s="40" t="s">
        <v>331</v>
      </c>
      <c r="J49" s="31" t="s">
        <v>26</v>
      </c>
      <c r="K49" s="146" t="s">
        <v>9</v>
      </c>
      <c r="L49" s="31" t="s">
        <v>332</v>
      </c>
    </row>
    <row r="50" spans="1:12">
      <c r="B50" s="46">
        <f t="shared" si="1"/>
        <v>41</v>
      </c>
      <c r="C50" s="45" t="s">
        <v>22</v>
      </c>
      <c r="D50" s="38">
        <v>46092</v>
      </c>
      <c r="E50" s="36">
        <v>46094</v>
      </c>
      <c r="F50" s="37" t="s">
        <v>227</v>
      </c>
      <c r="G50" s="30" t="s">
        <v>333</v>
      </c>
      <c r="H50" s="27" t="s">
        <v>334</v>
      </c>
      <c r="I50" s="40" t="s">
        <v>335</v>
      </c>
      <c r="J50" s="31" t="s">
        <v>96</v>
      </c>
      <c r="K50" s="146" t="s">
        <v>9</v>
      </c>
      <c r="L50" s="31" t="s">
        <v>336</v>
      </c>
    </row>
    <row r="51" spans="1:12" ht="52">
      <c r="B51" s="46">
        <f t="shared" si="1"/>
        <v>42</v>
      </c>
      <c r="C51" s="45" t="s">
        <v>22</v>
      </c>
      <c r="D51" s="38">
        <v>46092</v>
      </c>
      <c r="E51" s="36">
        <v>46094</v>
      </c>
      <c r="F51" s="37" t="s">
        <v>227</v>
      </c>
      <c r="G51" s="30" t="s">
        <v>337</v>
      </c>
      <c r="H51" s="27"/>
      <c r="I51" s="40" t="s">
        <v>329</v>
      </c>
      <c r="J51" s="31" t="s">
        <v>96</v>
      </c>
      <c r="K51" s="146" t="s">
        <v>9</v>
      </c>
      <c r="L51" s="31" t="s">
        <v>332</v>
      </c>
    </row>
    <row r="52" spans="1:12" ht="52">
      <c r="B52" s="46">
        <f t="shared" si="1"/>
        <v>43</v>
      </c>
      <c r="C52" s="45" t="s">
        <v>22</v>
      </c>
      <c r="D52" s="38">
        <v>46092</v>
      </c>
      <c r="E52" s="36">
        <v>46094</v>
      </c>
      <c r="F52" s="37" t="s">
        <v>227</v>
      </c>
      <c r="G52" s="30" t="s">
        <v>338</v>
      </c>
      <c r="H52" s="28" t="s">
        <v>339</v>
      </c>
      <c r="I52" s="40" t="s">
        <v>340</v>
      </c>
      <c r="J52" s="31" t="s">
        <v>100</v>
      </c>
      <c r="K52" s="146" t="s">
        <v>9</v>
      </c>
      <c r="L52" s="31" t="s">
        <v>341</v>
      </c>
    </row>
    <row r="53" spans="1:12">
      <c r="B53" s="46">
        <f t="shared" si="1"/>
        <v>44</v>
      </c>
      <c r="C53" s="45" t="s">
        <v>22</v>
      </c>
      <c r="D53" s="38">
        <v>46092</v>
      </c>
      <c r="E53" s="36">
        <v>46094</v>
      </c>
      <c r="F53" s="37" t="s">
        <v>227</v>
      </c>
      <c r="G53" s="30" t="s">
        <v>342</v>
      </c>
      <c r="H53" s="27"/>
      <c r="I53" s="40" t="s">
        <v>343</v>
      </c>
      <c r="J53" s="31" t="s">
        <v>100</v>
      </c>
      <c r="K53" s="146" t="s">
        <v>9</v>
      </c>
      <c r="L53" s="31" t="s">
        <v>344</v>
      </c>
    </row>
    <row r="54" spans="1:12" ht="52">
      <c r="B54" s="46">
        <f t="shared" si="1"/>
        <v>45</v>
      </c>
      <c r="C54" s="45" t="s">
        <v>22</v>
      </c>
      <c r="D54" s="38">
        <v>46092</v>
      </c>
      <c r="E54" s="36">
        <v>46094</v>
      </c>
      <c r="F54" s="37" t="s">
        <v>227</v>
      </c>
      <c r="G54" s="30" t="s">
        <v>345</v>
      </c>
      <c r="H54" s="27"/>
      <c r="I54" s="40" t="s">
        <v>199</v>
      </c>
      <c r="J54" s="31" t="s">
        <v>235</v>
      </c>
      <c r="K54" s="146" t="s">
        <v>9</v>
      </c>
      <c r="L54" s="31"/>
    </row>
    <row r="55" spans="1:12" ht="39">
      <c r="B55" s="46">
        <f t="shared" si="1"/>
        <v>46</v>
      </c>
      <c r="C55" s="45" t="s">
        <v>22</v>
      </c>
      <c r="D55" s="38">
        <v>46092</v>
      </c>
      <c r="E55" s="36">
        <v>46094</v>
      </c>
      <c r="F55" s="37" t="s">
        <v>227</v>
      </c>
      <c r="G55" s="30" t="s">
        <v>346</v>
      </c>
      <c r="H55" s="28" t="s">
        <v>347</v>
      </c>
      <c r="I55" s="40" t="s">
        <v>348</v>
      </c>
      <c r="J55" s="31" t="s">
        <v>235</v>
      </c>
      <c r="K55" s="146" t="s">
        <v>9</v>
      </c>
      <c r="L55" s="31" t="s">
        <v>349</v>
      </c>
    </row>
    <row r="56" spans="1:12" ht="52">
      <c r="B56" s="46">
        <f t="shared" si="1"/>
        <v>47</v>
      </c>
      <c r="C56" s="45" t="s">
        <v>22</v>
      </c>
      <c r="D56" s="38">
        <v>46092</v>
      </c>
      <c r="E56" s="36">
        <v>46094</v>
      </c>
      <c r="F56" s="37" t="s">
        <v>227</v>
      </c>
      <c r="G56" s="30" t="s">
        <v>350</v>
      </c>
      <c r="H56" s="27"/>
      <c r="I56" s="40" t="s">
        <v>199</v>
      </c>
      <c r="J56" s="31" t="s">
        <v>235</v>
      </c>
      <c r="K56" s="146" t="s">
        <v>9</v>
      </c>
      <c r="L56" s="31"/>
    </row>
    <row r="57" spans="1:12" ht="26">
      <c r="B57" s="46">
        <f t="shared" si="1"/>
        <v>48</v>
      </c>
      <c r="C57" s="45" t="s">
        <v>22</v>
      </c>
      <c r="D57" s="38">
        <v>46092</v>
      </c>
      <c r="E57" s="36">
        <v>46094</v>
      </c>
      <c r="F57" s="37" t="s">
        <v>227</v>
      </c>
      <c r="G57" s="30" t="s">
        <v>351</v>
      </c>
      <c r="H57" s="27"/>
      <c r="I57" s="40" t="s">
        <v>352</v>
      </c>
      <c r="J57" s="31" t="s">
        <v>235</v>
      </c>
      <c r="K57" s="146" t="s">
        <v>9</v>
      </c>
      <c r="L57" s="31"/>
    </row>
    <row r="58" spans="1:12" ht="39">
      <c r="B58" s="46">
        <f t="shared" si="1"/>
        <v>49</v>
      </c>
      <c r="C58" s="45" t="s">
        <v>22</v>
      </c>
      <c r="D58" s="38">
        <v>46092</v>
      </c>
      <c r="E58" s="36">
        <v>46094</v>
      </c>
      <c r="F58" s="37" t="s">
        <v>227</v>
      </c>
      <c r="G58" s="30" t="s">
        <v>353</v>
      </c>
      <c r="H58" s="27"/>
      <c r="I58" s="40" t="s">
        <v>354</v>
      </c>
      <c r="J58" s="31" t="s">
        <v>235</v>
      </c>
      <c r="K58" s="146" t="s">
        <v>9</v>
      </c>
      <c r="L58" s="31"/>
    </row>
    <row r="59" spans="1:12" ht="78">
      <c r="B59" s="46">
        <f t="shared" si="1"/>
        <v>50</v>
      </c>
      <c r="C59" s="45" t="s">
        <v>22</v>
      </c>
      <c r="D59" s="38">
        <v>46092</v>
      </c>
      <c r="E59" s="36">
        <v>46094</v>
      </c>
      <c r="F59" s="37" t="s">
        <v>227</v>
      </c>
      <c r="G59" s="30" t="s">
        <v>355</v>
      </c>
      <c r="H59" s="28" t="s">
        <v>356</v>
      </c>
      <c r="I59" s="40" t="s">
        <v>357</v>
      </c>
      <c r="J59" s="31" t="s">
        <v>26</v>
      </c>
      <c r="K59" s="146" t="s">
        <v>9</v>
      </c>
      <c r="L59" s="31" t="s">
        <v>236</v>
      </c>
    </row>
    <row r="60" spans="1:12" ht="26">
      <c r="B60" s="46">
        <f t="shared" si="1"/>
        <v>51</v>
      </c>
      <c r="C60" s="45" t="s">
        <v>22</v>
      </c>
      <c r="D60" s="38">
        <v>46092</v>
      </c>
      <c r="E60" s="36">
        <v>46094</v>
      </c>
      <c r="F60" s="37" t="s">
        <v>227</v>
      </c>
      <c r="G60" s="30" t="s">
        <v>358</v>
      </c>
      <c r="H60" s="27"/>
      <c r="I60" s="40" t="s">
        <v>317</v>
      </c>
      <c r="J60" s="31" t="s">
        <v>26</v>
      </c>
      <c r="K60" s="146" t="s">
        <v>9</v>
      </c>
      <c r="L60" s="31" t="s">
        <v>318</v>
      </c>
    </row>
    <row r="61" spans="1:12">
      <c r="B61" s="46">
        <f t="shared" si="1"/>
        <v>52</v>
      </c>
      <c r="C61" s="45" t="s">
        <v>22</v>
      </c>
      <c r="D61" s="38">
        <v>46092</v>
      </c>
      <c r="E61" s="45"/>
      <c r="F61" s="37" t="s">
        <v>227</v>
      </c>
      <c r="G61" s="30" t="s">
        <v>359</v>
      </c>
      <c r="H61" s="27"/>
      <c r="I61" s="40" t="s">
        <v>360</v>
      </c>
      <c r="J61" s="31" t="s">
        <v>96</v>
      </c>
      <c r="K61" s="146" t="s">
        <v>9</v>
      </c>
      <c r="L61" s="31" t="s">
        <v>361</v>
      </c>
    </row>
    <row r="62" spans="1:12" ht="26">
      <c r="B62" s="46">
        <f t="shared" si="1"/>
        <v>53</v>
      </c>
      <c r="C62" s="45" t="s">
        <v>22</v>
      </c>
      <c r="D62" s="38">
        <v>46092</v>
      </c>
      <c r="E62" s="36">
        <v>46107</v>
      </c>
      <c r="F62" s="37" t="s">
        <v>227</v>
      </c>
      <c r="G62" s="30" t="s">
        <v>362</v>
      </c>
      <c r="H62" s="27"/>
      <c r="I62" s="40" t="s">
        <v>363</v>
      </c>
      <c r="J62" s="31" t="s">
        <v>96</v>
      </c>
      <c r="K62" s="146" t="s">
        <v>9</v>
      </c>
      <c r="L62" s="31" t="s">
        <v>364</v>
      </c>
    </row>
    <row r="63" spans="1:12">
      <c r="A63" s="13" t="s">
        <v>149</v>
      </c>
      <c r="B63" s="13" t="s">
        <v>149</v>
      </c>
      <c r="C63" s="13" t="s">
        <v>149</v>
      </c>
      <c r="D63" s="13" t="s">
        <v>149</v>
      </c>
      <c r="E63" s="13" t="s">
        <v>149</v>
      </c>
      <c r="F63" s="13" t="s">
        <v>149</v>
      </c>
      <c r="G63" s="13" t="s">
        <v>149</v>
      </c>
      <c r="H63" s="13" t="s">
        <v>149</v>
      </c>
      <c r="I63" s="13" t="s">
        <v>149</v>
      </c>
      <c r="J63" s="13" t="s">
        <v>149</v>
      </c>
      <c r="K63" s="147" t="s">
        <v>149</v>
      </c>
      <c r="L63" s="13" t="s">
        <v>149</v>
      </c>
    </row>
  </sheetData>
  <autoFilter ref="B9:L9" xr:uid="{262D484F-FD24-4B41-840B-4E727D26D9FE}"/>
  <conditionalFormatting sqref="G10:G62 L10:L62">
    <cfRule type="expression" dxfId="216" priority="71">
      <formula>G10="High"</formula>
    </cfRule>
    <cfRule type="expression" dxfId="215" priority="72">
      <formula>G10="Very High"</formula>
    </cfRule>
    <cfRule type="cellIs" dxfId="214" priority="73" operator="equal">
      <formula>"Closed"</formula>
    </cfRule>
    <cfRule type="cellIs" dxfId="213" priority="74" operator="equal">
      <formula>"Partial"</formula>
    </cfRule>
    <cfRule type="cellIs" dxfId="212" priority="75" operator="equal">
      <formula>"Data Room"</formula>
    </cfRule>
    <cfRule type="cellIs" dxfId="211" priority="76" operator="equal">
      <formula>"Partial"</formula>
    </cfRule>
    <cfRule type="cellIs" dxfId="210" priority="77" operator="equal">
      <formula>"In-Process"</formula>
    </cfRule>
    <cfRule type="cellIs" dxfId="209" priority="78" operator="equal">
      <formula>"Defer"</formula>
    </cfRule>
    <cfRule type="cellIs" dxfId="208" priority="79" operator="equal">
      <formula>"Closed"</formula>
    </cfRule>
    <cfRule type="cellIs" dxfId="207" priority="80" operator="equal">
      <formula>"Open"</formula>
    </cfRule>
    <cfRule type="cellIs" dxfId="206" priority="81" operator="equal">
      <formula>"WB In-Process"</formula>
    </cfRule>
  </conditionalFormatting>
  <conditionalFormatting sqref="H10:H15 H26 H41:H47">
    <cfRule type="expression" dxfId="205" priority="40">
      <formula>$B10=$B$6</formula>
    </cfRule>
    <cfRule type="expression" dxfId="204" priority="41">
      <formula>$B10=$B$7</formula>
    </cfRule>
  </conditionalFormatting>
  <conditionalFormatting sqref="I10:J62">
    <cfRule type="expression" dxfId="203" priority="1">
      <formula>I10="High"</formula>
    </cfRule>
    <cfRule type="expression" dxfId="202" priority="2">
      <formula>I10="Very High"</formula>
    </cfRule>
    <cfRule type="cellIs" dxfId="201" priority="3" operator="equal">
      <formula>"Closed"</formula>
    </cfRule>
    <cfRule type="cellIs" dxfId="200" priority="4" operator="equal">
      <formula>"Partial"</formula>
    </cfRule>
    <cfRule type="cellIs" dxfId="199" priority="5" operator="equal">
      <formula>"Data Room"</formula>
    </cfRule>
    <cfRule type="cellIs" dxfId="198" priority="6" operator="equal">
      <formula>"Partial"</formula>
    </cfRule>
    <cfRule type="cellIs" dxfId="197" priority="7" operator="equal">
      <formula>"In-Process"</formula>
    </cfRule>
    <cfRule type="cellIs" dxfId="196" priority="8" operator="equal">
      <formula>"Defer"</formula>
    </cfRule>
    <cfRule type="cellIs" dxfId="195" priority="9" operator="equal">
      <formula>"Closed"</formula>
    </cfRule>
    <cfRule type="cellIs" dxfId="194" priority="10" operator="equal">
      <formula>"Open"</formula>
    </cfRule>
    <cfRule type="cellIs" dxfId="193" priority="11" operator="equal">
      <formula>"WB In-Process"</formula>
    </cfRule>
  </conditionalFormatting>
  <conditionalFormatting sqref="K2:K62 I3:K7">
    <cfRule type="cellIs" dxfId="192" priority="82" operator="equal">
      <formula>"scheduled"</formula>
    </cfRule>
    <cfRule type="cellIs" dxfId="191" priority="83" operator="equal">
      <formula>"defer"</formula>
    </cfRule>
    <cfRule type="cellIs" dxfId="190" priority="84" operator="equal">
      <formula>"open"</formula>
    </cfRule>
    <cfRule type="cellIs" dxfId="189" priority="85" operator="equal">
      <formula>"complete"</formula>
    </cfRule>
    <cfRule type="cellIs" dxfId="188" priority="86" operator="equal">
      <formula>"in process"</formula>
    </cfRule>
  </conditionalFormatting>
  <dataValidations disablePrompts="1" count="1">
    <dataValidation type="list" allowBlank="1" showInputMessage="1" showErrorMessage="1" sqref="K10:K62" xr:uid="{4F4F3E62-919C-4DCC-B9AF-907B806484D9}">
      <formula1>$I$3:$I$6</formula1>
    </dataValidation>
  </dataValidations>
  <pageMargins left="0.7" right="0.7" top="0.75" bottom="0.75" header="0.3" footer="0.3"/>
  <pageSetup scale="2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435C-DB43-48C0-87B1-254EC5855D70}">
  <sheetPr codeName="Sheet9">
    <tabColor theme="4" tint="0.79998168889431442"/>
    <pageSetUpPr fitToPage="1"/>
  </sheetPr>
  <dimension ref="B2:L39"/>
  <sheetViews>
    <sheetView showGridLines="0" view="pageBreakPreview" zoomScaleNormal="85" zoomScaleSheetLayoutView="100" workbookViewId="0">
      <pane xSplit="3" ySplit="9" topLeftCell="D10" activePane="bottomRight" state="frozen"/>
      <selection pane="topRight" activeCell="D10" sqref="D10"/>
      <selection pane="bottomLeft" activeCell="D10" sqref="D1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2">
      <c r="B2" s="6" t="s">
        <v>3</v>
      </c>
      <c r="C2" s="34"/>
      <c r="D2" s="34"/>
      <c r="E2" s="7"/>
      <c r="F2" s="34"/>
      <c r="G2" s="8"/>
      <c r="H2" s="7"/>
      <c r="I2" s="9" t="s">
        <v>4</v>
      </c>
      <c r="J2" s="10" t="s">
        <v>5</v>
      </c>
      <c r="K2" s="11" t="s">
        <v>6</v>
      </c>
      <c r="L2" s="12"/>
    </row>
    <row r="3" spans="2:12">
      <c r="B3" s="7"/>
      <c r="C3" s="35"/>
      <c r="D3" s="14"/>
      <c r="E3" s="14"/>
      <c r="F3" s="14"/>
      <c r="G3" s="15"/>
      <c r="H3" s="7"/>
      <c r="I3" s="16" t="s">
        <v>7</v>
      </c>
      <c r="J3" s="17">
        <f>+COUNTIFS(K$8:K$1265,$I3)</f>
        <v>3</v>
      </c>
      <c r="K3" s="18">
        <f>J3/$J$7</f>
        <v>0.11538461538461539</v>
      </c>
      <c r="L3" s="14"/>
    </row>
    <row r="4" spans="2:12">
      <c r="B4" s="6"/>
      <c r="C4" s="34"/>
      <c r="D4" s="34"/>
      <c r="E4" s="7"/>
      <c r="F4" s="34"/>
      <c r="G4" s="8"/>
      <c r="H4" s="7"/>
      <c r="I4" s="16" t="s">
        <v>8</v>
      </c>
      <c r="J4" s="17">
        <f>+COUNTIFS(K$8:K$1265,$I4)</f>
        <v>4</v>
      </c>
      <c r="K4" s="18">
        <f>J4/$J$7</f>
        <v>0.15384615384615385</v>
      </c>
      <c r="L4" s="12"/>
    </row>
    <row r="5" spans="2:12">
      <c r="B5" s="19"/>
      <c r="C5" s="19"/>
      <c r="D5" s="19"/>
      <c r="E5" s="20"/>
      <c r="F5" s="19"/>
      <c r="G5" s="21"/>
      <c r="H5" s="20"/>
      <c r="I5" s="16" t="s">
        <v>9</v>
      </c>
      <c r="J5" s="17">
        <f>+COUNTIFS(K$8:K$1265,$I5)</f>
        <v>19</v>
      </c>
      <c r="K5" s="18">
        <f>J5/$J$7</f>
        <v>0.73076923076923073</v>
      </c>
      <c r="L5" s="22"/>
    </row>
    <row r="6" spans="2:12">
      <c r="B6" s="19"/>
      <c r="C6" s="19"/>
      <c r="D6" s="19"/>
      <c r="E6" s="20"/>
      <c r="F6" s="19"/>
      <c r="G6" s="21"/>
      <c r="H6" s="20"/>
      <c r="I6" s="16" t="s">
        <v>10</v>
      </c>
      <c r="J6" s="17">
        <f>+COUNTIFS(K$8:K$1265,$I6)</f>
        <v>0</v>
      </c>
      <c r="K6" s="18">
        <f>J6/$J$7</f>
        <v>0</v>
      </c>
      <c r="L6" s="22"/>
    </row>
    <row r="7" spans="2:12">
      <c r="B7" s="19"/>
      <c r="C7" s="19"/>
      <c r="D7" s="19"/>
      <c r="E7" s="20"/>
      <c r="F7" s="19"/>
      <c r="G7" s="21"/>
      <c r="H7" s="20"/>
      <c r="I7" s="16" t="s">
        <v>11</v>
      </c>
      <c r="J7" s="23">
        <f>+SUM(J3:J6)</f>
        <v>26</v>
      </c>
      <c r="K7" s="24">
        <f>+SUM(K3:K6)</f>
        <v>1</v>
      </c>
      <c r="L7" s="22"/>
    </row>
    <row r="8" spans="2:12">
      <c r="B8" s="19"/>
      <c r="C8" s="19"/>
      <c r="D8" s="19"/>
      <c r="E8" s="20"/>
      <c r="F8" s="19"/>
      <c r="G8" s="21"/>
      <c r="H8" s="15"/>
      <c r="I8" s="7"/>
      <c r="J8" s="43">
        <f>MAX(B:B)-J7</f>
        <v>0</v>
      </c>
      <c r="K8" s="22"/>
      <c r="L8" s="22"/>
    </row>
    <row r="9" spans="2:12" ht="26">
      <c r="B9" s="25" t="s">
        <v>12</v>
      </c>
      <c r="C9" s="25" t="s">
        <v>13</v>
      </c>
      <c r="D9" s="26" t="s">
        <v>14</v>
      </c>
      <c r="E9" s="26" t="s">
        <v>15</v>
      </c>
      <c r="F9" s="25" t="s">
        <v>16</v>
      </c>
      <c r="G9" s="25" t="s">
        <v>17</v>
      </c>
      <c r="H9" s="26" t="s">
        <v>18</v>
      </c>
      <c r="I9" s="25" t="s">
        <v>19</v>
      </c>
      <c r="J9" s="25" t="s">
        <v>20</v>
      </c>
      <c r="K9" s="25" t="s">
        <v>4</v>
      </c>
      <c r="L9" s="26" t="s">
        <v>21</v>
      </c>
    </row>
    <row r="10" spans="2:12" ht="52">
      <c r="B10" s="46">
        <v>1</v>
      </c>
      <c r="C10" s="45" t="s">
        <v>22</v>
      </c>
      <c r="D10" s="38">
        <v>46093</v>
      </c>
      <c r="E10" s="36">
        <v>46107</v>
      </c>
      <c r="F10" s="37" t="s">
        <v>23</v>
      </c>
      <c r="G10" s="30" t="s">
        <v>365</v>
      </c>
      <c r="H10" s="28" t="s">
        <v>366</v>
      </c>
      <c r="I10" s="44" t="s">
        <v>367</v>
      </c>
      <c r="J10" s="31" t="s">
        <v>205</v>
      </c>
      <c r="K10" s="146" t="s">
        <v>9</v>
      </c>
      <c r="L10" s="31"/>
    </row>
    <row r="11" spans="2:12" ht="78">
      <c r="B11" s="46">
        <f>B10+1</f>
        <v>2</v>
      </c>
      <c r="C11" s="45" t="s">
        <v>22</v>
      </c>
      <c r="D11" s="38">
        <v>46093</v>
      </c>
      <c r="E11" s="36">
        <v>46100</v>
      </c>
      <c r="F11" s="37" t="s">
        <v>23</v>
      </c>
      <c r="G11" s="30" t="s">
        <v>368</v>
      </c>
      <c r="H11" s="28" t="s">
        <v>369</v>
      </c>
      <c r="I11" s="44" t="s">
        <v>370</v>
      </c>
      <c r="J11" s="31" t="s">
        <v>26</v>
      </c>
      <c r="K11" s="146" t="s">
        <v>9</v>
      </c>
      <c r="L11" s="31" t="s">
        <v>371</v>
      </c>
    </row>
    <row r="12" spans="2:12" ht="52">
      <c r="B12" s="46">
        <f t="shared" ref="B12:B35" si="0">B11+1</f>
        <v>3</v>
      </c>
      <c r="C12" s="45" t="s">
        <v>22</v>
      </c>
      <c r="D12" s="38">
        <v>46093</v>
      </c>
      <c r="E12" s="45"/>
      <c r="F12" s="37" t="s">
        <v>23</v>
      </c>
      <c r="G12" s="30" t="s">
        <v>372</v>
      </c>
      <c r="H12" s="28" t="s">
        <v>373</v>
      </c>
      <c r="I12" s="44"/>
      <c r="J12" s="31" t="s">
        <v>26</v>
      </c>
      <c r="K12" s="146" t="s">
        <v>8</v>
      </c>
      <c r="L12" s="31"/>
    </row>
    <row r="13" spans="2:12" ht="39">
      <c r="B13" s="46">
        <f t="shared" si="0"/>
        <v>4</v>
      </c>
      <c r="C13" s="45" t="s">
        <v>22</v>
      </c>
      <c r="D13" s="38">
        <v>46093</v>
      </c>
      <c r="E13" s="36">
        <v>46097</v>
      </c>
      <c r="F13" s="37" t="s">
        <v>23</v>
      </c>
      <c r="G13" s="30" t="s">
        <v>374</v>
      </c>
      <c r="H13" s="28" t="s">
        <v>366</v>
      </c>
      <c r="I13" s="44" t="s">
        <v>375</v>
      </c>
      <c r="J13" s="31" t="s">
        <v>26</v>
      </c>
      <c r="K13" s="146" t="s">
        <v>9</v>
      </c>
      <c r="L13" s="31"/>
    </row>
    <row r="14" spans="2:12" ht="104">
      <c r="B14" s="46">
        <f t="shared" si="0"/>
        <v>5</v>
      </c>
      <c r="C14" s="45" t="s">
        <v>22</v>
      </c>
      <c r="D14" s="38">
        <v>46093</v>
      </c>
      <c r="E14" s="36">
        <v>46101</v>
      </c>
      <c r="F14" s="37" t="s">
        <v>23</v>
      </c>
      <c r="G14" s="30" t="s">
        <v>376</v>
      </c>
      <c r="H14" s="28" t="s">
        <v>377</v>
      </c>
      <c r="I14" s="44" t="s">
        <v>378</v>
      </c>
      <c r="J14" s="31" t="s">
        <v>205</v>
      </c>
      <c r="K14" s="146" t="s">
        <v>9</v>
      </c>
      <c r="L14" s="31" t="s">
        <v>379</v>
      </c>
    </row>
    <row r="15" spans="2:12" ht="91">
      <c r="B15" s="46">
        <f t="shared" si="0"/>
        <v>6</v>
      </c>
      <c r="C15" s="45" t="s">
        <v>22</v>
      </c>
      <c r="D15" s="38">
        <v>46093</v>
      </c>
      <c r="E15" s="36">
        <v>46106</v>
      </c>
      <c r="F15" s="37" t="s">
        <v>23</v>
      </c>
      <c r="G15" s="30" t="s">
        <v>380</v>
      </c>
      <c r="H15" s="28" t="s">
        <v>366</v>
      </c>
      <c r="I15" s="44" t="s">
        <v>381</v>
      </c>
      <c r="J15" s="31" t="s">
        <v>205</v>
      </c>
      <c r="K15" s="146" t="s">
        <v>9</v>
      </c>
      <c r="L15" s="31"/>
    </row>
    <row r="16" spans="2:12" ht="78">
      <c r="B16" s="46">
        <f t="shared" si="0"/>
        <v>7</v>
      </c>
      <c r="C16" s="45" t="s">
        <v>22</v>
      </c>
      <c r="D16" s="38">
        <v>46093</v>
      </c>
      <c r="E16" s="36">
        <v>46106</v>
      </c>
      <c r="F16" s="37" t="s">
        <v>23</v>
      </c>
      <c r="G16" s="30" t="s">
        <v>382</v>
      </c>
      <c r="H16" s="28" t="s">
        <v>366</v>
      </c>
      <c r="I16" s="44" t="s">
        <v>383</v>
      </c>
      <c r="J16" s="31" t="s">
        <v>205</v>
      </c>
      <c r="K16" s="146" t="s">
        <v>9</v>
      </c>
      <c r="L16" s="31"/>
    </row>
    <row r="17" spans="2:12" ht="46.5" customHeight="1">
      <c r="B17" s="46">
        <f t="shared" si="0"/>
        <v>8</v>
      </c>
      <c r="C17" s="45" t="s">
        <v>22</v>
      </c>
      <c r="D17" s="38">
        <v>46093</v>
      </c>
      <c r="E17" s="36">
        <v>46106</v>
      </c>
      <c r="F17" s="37" t="s">
        <v>23</v>
      </c>
      <c r="G17" s="30" t="s">
        <v>384</v>
      </c>
      <c r="H17" s="28" t="s">
        <v>385</v>
      </c>
      <c r="I17" s="44" t="s">
        <v>386</v>
      </c>
      <c r="J17" s="31" t="s">
        <v>26</v>
      </c>
      <c r="K17" s="146" t="s">
        <v>9</v>
      </c>
      <c r="L17" s="31"/>
    </row>
    <row r="18" spans="2:12" ht="39">
      <c r="B18" s="46">
        <f t="shared" si="0"/>
        <v>9</v>
      </c>
      <c r="C18" s="45" t="s">
        <v>22</v>
      </c>
      <c r="D18" s="38">
        <v>46093</v>
      </c>
      <c r="E18" s="45"/>
      <c r="F18" s="37" t="s">
        <v>23</v>
      </c>
      <c r="G18" s="30" t="s">
        <v>387</v>
      </c>
      <c r="H18" s="28" t="s">
        <v>366</v>
      </c>
      <c r="I18" s="44"/>
      <c r="J18" s="31" t="s">
        <v>26</v>
      </c>
      <c r="K18" s="146" t="s">
        <v>8</v>
      </c>
      <c r="L18" s="31"/>
    </row>
    <row r="19" spans="2:12" ht="117">
      <c r="B19" s="46">
        <f t="shared" si="0"/>
        <v>10</v>
      </c>
      <c r="C19" s="45" t="s">
        <v>22</v>
      </c>
      <c r="D19" s="38">
        <v>46093</v>
      </c>
      <c r="E19" s="36">
        <v>46097</v>
      </c>
      <c r="F19" s="37" t="s">
        <v>23</v>
      </c>
      <c r="G19" s="30" t="s">
        <v>388</v>
      </c>
      <c r="H19" s="28" t="s">
        <v>389</v>
      </c>
      <c r="I19" s="44" t="s">
        <v>390</v>
      </c>
      <c r="J19" s="31" t="s">
        <v>26</v>
      </c>
      <c r="K19" s="146" t="s">
        <v>9</v>
      </c>
      <c r="L19" s="31" t="s">
        <v>391</v>
      </c>
    </row>
    <row r="20" spans="2:12" ht="52">
      <c r="B20" s="46">
        <f t="shared" si="0"/>
        <v>11</v>
      </c>
      <c r="C20" s="45" t="s">
        <v>22</v>
      </c>
      <c r="D20" s="38">
        <v>46093</v>
      </c>
      <c r="E20" s="36">
        <v>46098</v>
      </c>
      <c r="F20" s="37" t="s">
        <v>23</v>
      </c>
      <c r="G20" s="30" t="s">
        <v>392</v>
      </c>
      <c r="H20" s="28" t="s">
        <v>393</v>
      </c>
      <c r="I20" s="44" t="s">
        <v>394</v>
      </c>
      <c r="J20" s="31" t="s">
        <v>96</v>
      </c>
      <c r="K20" s="146" t="s">
        <v>9</v>
      </c>
      <c r="L20" s="31" t="s">
        <v>395</v>
      </c>
    </row>
    <row r="21" spans="2:12" ht="52">
      <c r="B21" s="46">
        <f t="shared" si="0"/>
        <v>12</v>
      </c>
      <c r="C21" s="45" t="s">
        <v>22</v>
      </c>
      <c r="D21" s="38">
        <v>46093</v>
      </c>
      <c r="E21" s="36">
        <v>46097</v>
      </c>
      <c r="F21" s="37" t="s">
        <v>23</v>
      </c>
      <c r="G21" s="30" t="s">
        <v>396</v>
      </c>
      <c r="H21" s="28" t="s">
        <v>397</v>
      </c>
      <c r="I21" s="44" t="s">
        <v>398</v>
      </c>
      <c r="J21" s="31" t="s">
        <v>26</v>
      </c>
      <c r="K21" s="146" t="s">
        <v>9</v>
      </c>
      <c r="L21" s="31" t="s">
        <v>399</v>
      </c>
    </row>
    <row r="22" spans="2:12" ht="78">
      <c r="B22" s="46">
        <f t="shared" si="0"/>
        <v>13</v>
      </c>
      <c r="C22" s="45" t="s">
        <v>22</v>
      </c>
      <c r="D22" s="38">
        <v>46093</v>
      </c>
      <c r="E22" s="36">
        <v>46097</v>
      </c>
      <c r="F22" s="37" t="s">
        <v>23</v>
      </c>
      <c r="G22" s="30" t="s">
        <v>400</v>
      </c>
      <c r="H22" s="28" t="s">
        <v>401</v>
      </c>
      <c r="I22" s="44" t="s">
        <v>402</v>
      </c>
      <c r="J22" s="31" t="s">
        <v>96</v>
      </c>
      <c r="K22" s="146" t="s">
        <v>9</v>
      </c>
      <c r="L22" s="31" t="s">
        <v>403</v>
      </c>
    </row>
    <row r="23" spans="2:12" ht="52">
      <c r="B23" s="46">
        <f t="shared" si="0"/>
        <v>14</v>
      </c>
      <c r="C23" s="45" t="s">
        <v>22</v>
      </c>
      <c r="D23" s="38">
        <v>46093</v>
      </c>
      <c r="E23" s="36">
        <v>46097</v>
      </c>
      <c r="F23" s="37" t="s">
        <v>23</v>
      </c>
      <c r="G23" s="30" t="s">
        <v>404</v>
      </c>
      <c r="H23" s="28" t="s">
        <v>397</v>
      </c>
      <c r="I23" s="44" t="s">
        <v>398</v>
      </c>
      <c r="J23" s="31" t="s">
        <v>26</v>
      </c>
      <c r="K23" s="146" t="s">
        <v>9</v>
      </c>
      <c r="L23" s="31" t="s">
        <v>399</v>
      </c>
    </row>
    <row r="24" spans="2:12" ht="65">
      <c r="B24" s="46">
        <f t="shared" si="0"/>
        <v>15</v>
      </c>
      <c r="C24" s="45" t="s">
        <v>22</v>
      </c>
      <c r="D24" s="38">
        <v>46093</v>
      </c>
      <c r="E24" s="36">
        <v>46098</v>
      </c>
      <c r="F24" s="37" t="s">
        <v>23</v>
      </c>
      <c r="G24" s="30" t="s">
        <v>405</v>
      </c>
      <c r="H24" s="28" t="s">
        <v>406</v>
      </c>
      <c r="I24" s="44" t="s">
        <v>407</v>
      </c>
      <c r="J24" s="31" t="s">
        <v>96</v>
      </c>
      <c r="K24" s="146" t="s">
        <v>9</v>
      </c>
      <c r="L24" s="31" t="s">
        <v>408</v>
      </c>
    </row>
    <row r="25" spans="2:12" ht="52">
      <c r="B25" s="46">
        <f t="shared" si="0"/>
        <v>16</v>
      </c>
      <c r="C25" s="45" t="s">
        <v>22</v>
      </c>
      <c r="D25" s="38">
        <v>46093</v>
      </c>
      <c r="E25" s="36">
        <v>46097</v>
      </c>
      <c r="F25" s="37" t="s">
        <v>23</v>
      </c>
      <c r="G25" s="30" t="s">
        <v>409</v>
      </c>
      <c r="H25" s="28" t="s">
        <v>406</v>
      </c>
      <c r="I25" s="44" t="s">
        <v>410</v>
      </c>
      <c r="J25" s="31" t="s">
        <v>26</v>
      </c>
      <c r="K25" s="146" t="s">
        <v>9</v>
      </c>
      <c r="L25" s="31"/>
    </row>
    <row r="26" spans="2:12" ht="65">
      <c r="B26" s="46">
        <f t="shared" si="0"/>
        <v>17</v>
      </c>
      <c r="C26" s="45" t="s">
        <v>22</v>
      </c>
      <c r="D26" s="38">
        <v>46093</v>
      </c>
      <c r="E26" s="36">
        <v>46098</v>
      </c>
      <c r="F26" s="37" t="s">
        <v>23</v>
      </c>
      <c r="G26" s="30" t="s">
        <v>411</v>
      </c>
      <c r="H26" s="28"/>
      <c r="I26" s="44" t="s">
        <v>412</v>
      </c>
      <c r="J26" s="31" t="s">
        <v>100</v>
      </c>
      <c r="K26" s="146" t="s">
        <v>9</v>
      </c>
      <c r="L26" s="31" t="s">
        <v>413</v>
      </c>
    </row>
    <row r="27" spans="2:12" ht="26">
      <c r="B27" s="46">
        <f t="shared" si="0"/>
        <v>18</v>
      </c>
      <c r="C27" s="45" t="s">
        <v>22</v>
      </c>
      <c r="D27" s="38">
        <v>46093</v>
      </c>
      <c r="E27" s="36">
        <v>46097</v>
      </c>
      <c r="F27" s="37" t="s">
        <v>23</v>
      </c>
      <c r="G27" s="30" t="s">
        <v>414</v>
      </c>
      <c r="H27" s="28"/>
      <c r="I27" s="44" t="s">
        <v>415</v>
      </c>
      <c r="J27" s="31" t="s">
        <v>100</v>
      </c>
      <c r="K27" s="146" t="s">
        <v>9</v>
      </c>
      <c r="L27" s="31" t="s">
        <v>416</v>
      </c>
    </row>
    <row r="28" spans="2:12" ht="39">
      <c r="B28" s="46">
        <f t="shared" si="0"/>
        <v>19</v>
      </c>
      <c r="C28" s="45" t="s">
        <v>22</v>
      </c>
      <c r="D28" s="38">
        <v>46105</v>
      </c>
      <c r="E28" s="36">
        <v>46106</v>
      </c>
      <c r="F28" s="37" t="s">
        <v>23</v>
      </c>
      <c r="G28" s="30" t="s">
        <v>417</v>
      </c>
      <c r="H28" s="28" t="s">
        <v>418</v>
      </c>
      <c r="I28" s="44" t="s">
        <v>419</v>
      </c>
      <c r="J28" s="31" t="s">
        <v>205</v>
      </c>
      <c r="K28" s="146" t="s">
        <v>9</v>
      </c>
      <c r="L28" s="31" t="s">
        <v>420</v>
      </c>
    </row>
    <row r="29" spans="2:12" ht="91">
      <c r="B29" s="46">
        <f t="shared" si="0"/>
        <v>20</v>
      </c>
      <c r="C29" s="45" t="s">
        <v>22</v>
      </c>
      <c r="D29" s="38">
        <v>46105</v>
      </c>
      <c r="E29" s="36">
        <v>46106</v>
      </c>
      <c r="F29" s="37" t="s">
        <v>23</v>
      </c>
      <c r="G29" s="30" t="s">
        <v>421</v>
      </c>
      <c r="H29" s="28" t="s">
        <v>418</v>
      </c>
      <c r="I29" s="44"/>
      <c r="J29" s="31" t="s">
        <v>26</v>
      </c>
      <c r="K29" s="146" t="s">
        <v>8</v>
      </c>
      <c r="L29" s="31"/>
    </row>
    <row r="30" spans="2:12" ht="26">
      <c r="B30" s="46">
        <f t="shared" si="0"/>
        <v>21</v>
      </c>
      <c r="C30" s="45" t="s">
        <v>22</v>
      </c>
      <c r="D30" s="38">
        <v>46105</v>
      </c>
      <c r="E30" s="36">
        <v>46107</v>
      </c>
      <c r="F30" s="37" t="s">
        <v>23</v>
      </c>
      <c r="G30" s="30" t="s">
        <v>422</v>
      </c>
      <c r="H30" s="29" t="s">
        <v>423</v>
      </c>
      <c r="I30" s="44" t="s">
        <v>424</v>
      </c>
      <c r="J30" s="31" t="s">
        <v>26</v>
      </c>
      <c r="K30" s="146" t="s">
        <v>9</v>
      </c>
      <c r="L30" s="31" t="s">
        <v>425</v>
      </c>
    </row>
    <row r="31" spans="2:12" ht="78">
      <c r="B31" s="46">
        <f t="shared" si="0"/>
        <v>22</v>
      </c>
      <c r="C31" s="45" t="s">
        <v>22</v>
      </c>
      <c r="D31" s="38">
        <v>46105</v>
      </c>
      <c r="E31" s="36">
        <v>46106</v>
      </c>
      <c r="F31" s="37" t="s">
        <v>23</v>
      </c>
      <c r="G31" s="30" t="s">
        <v>426</v>
      </c>
      <c r="H31" s="29" t="s">
        <v>427</v>
      </c>
      <c r="I31" s="44" t="s">
        <v>428</v>
      </c>
      <c r="J31" s="31" t="s">
        <v>26</v>
      </c>
      <c r="K31" s="146" t="s">
        <v>9</v>
      </c>
      <c r="L31" s="31" t="s">
        <v>429</v>
      </c>
    </row>
    <row r="32" spans="2:12" ht="39">
      <c r="B32" s="46">
        <f t="shared" si="0"/>
        <v>23</v>
      </c>
      <c r="C32" s="45" t="s">
        <v>22</v>
      </c>
      <c r="D32" s="38">
        <v>46105</v>
      </c>
      <c r="E32" s="36"/>
      <c r="F32" s="37" t="s">
        <v>23</v>
      </c>
      <c r="G32" s="30" t="s">
        <v>430</v>
      </c>
      <c r="H32" s="29"/>
      <c r="I32" s="44"/>
      <c r="J32" s="31" t="s">
        <v>26</v>
      </c>
      <c r="K32" s="146" t="s">
        <v>8</v>
      </c>
      <c r="L32" s="31"/>
    </row>
    <row r="33" spans="2:12" ht="39">
      <c r="B33" s="46">
        <f t="shared" si="0"/>
        <v>24</v>
      </c>
      <c r="C33" s="281" t="s">
        <v>22</v>
      </c>
      <c r="D33" s="282">
        <v>46108</v>
      </c>
      <c r="E33" s="283"/>
      <c r="F33" s="284" t="s">
        <v>23</v>
      </c>
      <c r="G33" s="30" t="s">
        <v>1488</v>
      </c>
      <c r="H33" s="285" t="s">
        <v>423</v>
      </c>
      <c r="I33" s="278"/>
      <c r="J33" s="280" t="s">
        <v>26</v>
      </c>
      <c r="K33" s="279" t="s">
        <v>7</v>
      </c>
      <c r="L33" s="280"/>
    </row>
    <row r="34" spans="2:12" ht="39">
      <c r="B34" s="46">
        <f t="shared" si="0"/>
        <v>25</v>
      </c>
      <c r="C34" s="281" t="s">
        <v>22</v>
      </c>
      <c r="D34" s="298">
        <v>46108</v>
      </c>
      <c r="E34" s="283"/>
      <c r="F34" s="284" t="s">
        <v>23</v>
      </c>
      <c r="G34" s="30" t="s">
        <v>1489</v>
      </c>
      <c r="H34" s="285" t="s">
        <v>423</v>
      </c>
      <c r="I34" s="278"/>
      <c r="J34" s="280" t="s">
        <v>26</v>
      </c>
      <c r="K34" s="279" t="s">
        <v>7</v>
      </c>
      <c r="L34" s="280"/>
    </row>
    <row r="35" spans="2:12" ht="78">
      <c r="B35" s="46">
        <f t="shared" si="0"/>
        <v>26</v>
      </c>
      <c r="C35" s="281" t="s">
        <v>22</v>
      </c>
      <c r="D35" s="298">
        <v>46108</v>
      </c>
      <c r="E35" s="283"/>
      <c r="F35" s="284" t="s">
        <v>23</v>
      </c>
      <c r="G35" s="30" t="s">
        <v>1490</v>
      </c>
      <c r="H35" s="285" t="s">
        <v>1491</v>
      </c>
      <c r="I35" s="278"/>
      <c r="J35" s="280" t="s">
        <v>26</v>
      </c>
      <c r="K35" s="279" t="s">
        <v>7</v>
      </c>
      <c r="L35" s="280"/>
    </row>
    <row r="36" spans="2:12" ht="14">
      <c r="F36"/>
      <c r="G36"/>
      <c r="H36"/>
      <c r="I36"/>
    </row>
    <row r="37" spans="2:12" ht="14">
      <c r="F37"/>
      <c r="G37"/>
      <c r="H37"/>
      <c r="I37"/>
    </row>
    <row r="38" spans="2:12" ht="14">
      <c r="F38"/>
      <c r="G38"/>
      <c r="H38"/>
      <c r="I38"/>
    </row>
    <row r="39" spans="2:12" ht="14">
      <c r="F39"/>
      <c r="G39"/>
      <c r="H39"/>
      <c r="I39"/>
    </row>
  </sheetData>
  <autoFilter ref="B9:L9" xr:uid="{2CC1435C-DB43-48C0-87B1-254EC5855D70}"/>
  <conditionalFormatting sqref="G10:G32 I10:J32 L10:L32">
    <cfRule type="cellIs" dxfId="187" priority="34" operator="equal">
      <formula>"Closed"</formula>
    </cfRule>
    <cfRule type="cellIs" dxfId="186" priority="35" operator="equal">
      <formula>"Partial"</formula>
    </cfRule>
    <cfRule type="cellIs" dxfId="185" priority="36" operator="equal">
      <formula>"Data Room"</formula>
    </cfRule>
    <cfRule type="cellIs" dxfId="184" priority="37" operator="equal">
      <formula>"Partial"</formula>
    </cfRule>
    <cfRule type="cellIs" dxfId="183" priority="38" operator="equal">
      <formula>"In-Process"</formula>
    </cfRule>
    <cfRule type="cellIs" dxfId="182" priority="39" operator="equal">
      <formula>"Defer"</formula>
    </cfRule>
    <cfRule type="cellIs" dxfId="181" priority="40" operator="equal">
      <formula>"Closed"</formula>
    </cfRule>
    <cfRule type="cellIs" dxfId="180" priority="41" operator="equal">
      <formula>"Open"</formula>
    </cfRule>
    <cfRule type="cellIs" dxfId="179" priority="42" operator="equal">
      <formula>"WB In-Process"</formula>
    </cfRule>
  </conditionalFormatting>
  <conditionalFormatting sqref="H10:H32">
    <cfRule type="expression" dxfId="178" priority="30">
      <formula>$B10=$B$6</formula>
    </cfRule>
    <cfRule type="expression" dxfId="177" priority="31">
      <formula>$B10=$B$7</formula>
    </cfRule>
  </conditionalFormatting>
  <conditionalFormatting sqref="I10:J32 G10:G32 L10:L32">
    <cfRule type="expression" dxfId="176" priority="32">
      <formula>G10="High"</formula>
    </cfRule>
    <cfRule type="expression" dxfId="175" priority="33">
      <formula>G10="Very High"</formula>
    </cfRule>
  </conditionalFormatting>
  <conditionalFormatting sqref="J10:J32">
    <cfRule type="cellIs" dxfId="174" priority="27" stopIfTrue="1" operator="equal">
      <formula>"High"</formula>
    </cfRule>
    <cfRule type="cellIs" dxfId="173" priority="28" stopIfTrue="1" operator="equal">
      <formula>"Medium"</formula>
    </cfRule>
    <cfRule type="cellIs" dxfId="172" priority="29" stopIfTrue="1" operator="equal">
      <formula>"Low"</formula>
    </cfRule>
  </conditionalFormatting>
  <conditionalFormatting sqref="K2 I3:K7">
    <cfRule type="cellIs" dxfId="171" priority="80" operator="equal">
      <formula>"scheduled"</formula>
    </cfRule>
    <cfRule type="cellIs" dxfId="170" priority="81" operator="equal">
      <formula>"defer"</formula>
    </cfRule>
    <cfRule type="cellIs" dxfId="169" priority="82" operator="equal">
      <formula>"open"</formula>
    </cfRule>
    <cfRule type="cellIs" dxfId="168" priority="83" operator="equal">
      <formula>"complete"</formula>
    </cfRule>
    <cfRule type="cellIs" dxfId="167" priority="84" operator="equal">
      <formula>"in process"</formula>
    </cfRule>
  </conditionalFormatting>
  <conditionalFormatting sqref="K8:K32">
    <cfRule type="cellIs" dxfId="166" priority="22" operator="equal">
      <formula>"scheduled"</formula>
    </cfRule>
    <cfRule type="cellIs" dxfId="165" priority="23" operator="equal">
      <formula>"defer"</formula>
    </cfRule>
    <cfRule type="cellIs" dxfId="164" priority="24" operator="equal">
      <formula>"open"</formula>
    </cfRule>
    <cfRule type="cellIs" dxfId="163" priority="25" operator="equal">
      <formula>"complete"</formula>
    </cfRule>
    <cfRule type="cellIs" dxfId="162" priority="26" operator="equal">
      <formula>"in process"</formula>
    </cfRule>
  </conditionalFormatting>
  <conditionalFormatting sqref="G33:G35 I33:J35 L33:L35">
    <cfRule type="cellIs" dxfId="161" priority="8" operator="equal">
      <formula>"Closed"</formula>
    </cfRule>
    <cfRule type="cellIs" dxfId="160" priority="9" operator="equal">
      <formula>"Partial"</formula>
    </cfRule>
    <cfRule type="cellIs" dxfId="159" priority="10" operator="equal">
      <formula>"Data Room"</formula>
    </cfRule>
    <cfRule type="cellIs" dxfId="158" priority="11" operator="equal">
      <formula>"Partial"</formula>
    </cfRule>
    <cfRule type="cellIs" dxfId="157" priority="12" operator="equal">
      <formula>"In-Process"</formula>
    </cfRule>
    <cfRule type="cellIs" dxfId="156" priority="13" operator="equal">
      <formula>"Defer"</formula>
    </cfRule>
    <cfRule type="cellIs" dxfId="155" priority="14" operator="equal">
      <formula>"Closed"</formula>
    </cfRule>
    <cfRule type="cellIs" dxfId="154" priority="15" operator="equal">
      <formula>"Open"</formula>
    </cfRule>
    <cfRule type="cellIs" dxfId="153" priority="16" operator="equal">
      <formula>"WB In-Process"</formula>
    </cfRule>
  </conditionalFormatting>
  <conditionalFormatting sqref="H33:H35">
    <cfRule type="expression" dxfId="152" priority="4">
      <formula>$B33=$B$6</formula>
    </cfRule>
    <cfRule type="expression" dxfId="151" priority="5">
      <formula>$B33=$B$7</formula>
    </cfRule>
  </conditionalFormatting>
  <conditionalFormatting sqref="I33:J35 G33:G35 L33:L35">
    <cfRule type="expression" dxfId="150" priority="6">
      <formula>G33="High"</formula>
    </cfRule>
    <cfRule type="expression" dxfId="149" priority="7">
      <formula>G33="Very High"</formula>
    </cfRule>
  </conditionalFormatting>
  <conditionalFormatting sqref="J33:J35">
    <cfRule type="cellIs" dxfId="148" priority="1" stopIfTrue="1" operator="equal">
      <formula>"High"</formula>
    </cfRule>
    <cfRule type="cellIs" dxfId="147" priority="2" stopIfTrue="1" operator="equal">
      <formula>"Medium"</formula>
    </cfRule>
    <cfRule type="cellIs" dxfId="146" priority="3" stopIfTrue="1" operator="equal">
      <formula>"Low"</formula>
    </cfRule>
  </conditionalFormatting>
  <conditionalFormatting sqref="K33:K35">
    <cfRule type="cellIs" dxfId="145" priority="17" operator="equal">
      <formula>"scheduled"</formula>
    </cfRule>
    <cfRule type="cellIs" dxfId="144" priority="18" operator="equal">
      <formula>"defer"</formula>
    </cfRule>
    <cfRule type="cellIs" dxfId="143" priority="19" operator="equal">
      <formula>"open"</formula>
    </cfRule>
    <cfRule type="cellIs" dxfId="142" priority="20" operator="equal">
      <formula>"complete"</formula>
    </cfRule>
    <cfRule type="cellIs" dxfId="141" priority="21" operator="equal">
      <formula>"in process"</formula>
    </cfRule>
  </conditionalFormatting>
  <dataValidations count="2">
    <dataValidation type="list" allowBlank="1" showInputMessage="1" showErrorMessage="1" sqref="J10:J35" xr:uid="{541EE0DD-7169-4BCF-99E5-C89FB93A4416}">
      <formula1>PriorityList</formula1>
    </dataValidation>
    <dataValidation type="list" allowBlank="1" showInputMessage="1" showErrorMessage="1" sqref="K10:K35" xr:uid="{E60D9ADA-58D2-47BD-BD29-8A7A918ED1F0}">
      <formula1>$I$3:$I$6</formula1>
    </dataValidation>
  </dataValidations>
  <pageMargins left="0.7" right="0.7" top="0.75" bottom="0.75" header="0.3" footer="0.3"/>
  <pageSetup scale="4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9A294-3031-4287-8D37-8670286F2180}">
  <sheetPr codeName="Sheet7">
    <tabColor theme="4" tint="0.79998168889431442"/>
    <pageSetUpPr fitToPage="1"/>
  </sheetPr>
  <dimension ref="A2:L34"/>
  <sheetViews>
    <sheetView showGridLines="0" view="pageBreakPreview" zoomScaleNormal="85" zoomScaleSheetLayoutView="100" workbookViewId="0">
      <pane xSplit="3" ySplit="9" topLeftCell="D10" activePane="bottomRight" state="frozen"/>
      <selection pane="topRight" activeCell="N22" sqref="N22"/>
      <selection pane="bottomLeft" activeCell="N22" sqref="N22"/>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2">
      <c r="B2" s="6" t="s">
        <v>3</v>
      </c>
      <c r="C2" s="34"/>
      <c r="D2" s="34"/>
      <c r="E2" s="7"/>
      <c r="F2" s="34"/>
      <c r="G2" s="8"/>
      <c r="H2" s="7"/>
      <c r="I2" s="9" t="s">
        <v>4</v>
      </c>
      <c r="J2" s="10" t="s">
        <v>5</v>
      </c>
      <c r="K2" s="11" t="s">
        <v>6</v>
      </c>
      <c r="L2" s="12"/>
    </row>
    <row r="3" spans="2:12">
      <c r="B3" s="7"/>
      <c r="C3" s="35"/>
      <c r="D3" s="14"/>
      <c r="E3" s="14"/>
      <c r="F3" s="14"/>
      <c r="G3" s="15"/>
      <c r="H3" s="7"/>
      <c r="I3" s="16" t="s">
        <v>7</v>
      </c>
      <c r="J3" s="17">
        <f>+COUNTIFS(K$8:K$1301,$I3)</f>
        <v>0</v>
      </c>
      <c r="K3" s="18">
        <f>J3/$J$7</f>
        <v>0</v>
      </c>
      <c r="L3" s="14"/>
    </row>
    <row r="4" spans="2:12">
      <c r="B4" s="6"/>
      <c r="C4" s="34"/>
      <c r="D4" s="34"/>
      <c r="E4" s="7"/>
      <c r="F4" s="34"/>
      <c r="G4" s="8"/>
      <c r="H4" s="7"/>
      <c r="I4" s="16" t="s">
        <v>8</v>
      </c>
      <c r="J4" s="17">
        <f>+COUNTIFS(K$8:K$1301,$I4)</f>
        <v>0</v>
      </c>
      <c r="K4" s="18">
        <f>J4/$J$7</f>
        <v>0</v>
      </c>
      <c r="L4" s="12"/>
    </row>
    <row r="5" spans="2:12">
      <c r="B5" s="19"/>
      <c r="C5" s="19"/>
      <c r="D5" s="19"/>
      <c r="E5" s="20"/>
      <c r="F5" s="19"/>
      <c r="G5" s="21"/>
      <c r="H5" s="20"/>
      <c r="I5" s="16" t="s">
        <v>9</v>
      </c>
      <c r="J5" s="17">
        <f>+COUNTIFS(K$8:K$1301,$I5)</f>
        <v>24</v>
      </c>
      <c r="K5" s="18">
        <f>J5/$J$7</f>
        <v>1</v>
      </c>
      <c r="L5" s="22"/>
    </row>
    <row r="6" spans="2:12">
      <c r="B6" s="19"/>
      <c r="C6" s="19"/>
      <c r="D6" s="19"/>
      <c r="E6" s="20"/>
      <c r="F6" s="19"/>
      <c r="G6" s="21"/>
      <c r="H6" s="20"/>
      <c r="I6" s="16" t="s">
        <v>10</v>
      </c>
      <c r="J6" s="17">
        <f>+COUNTIFS(K$8:K$1301,$I6)</f>
        <v>0</v>
      </c>
      <c r="K6" s="18">
        <f>J6/$J$7</f>
        <v>0</v>
      </c>
      <c r="L6" s="22"/>
    </row>
    <row r="7" spans="2:12">
      <c r="B7" s="19"/>
      <c r="C7" s="19"/>
      <c r="D7" s="19"/>
      <c r="E7" s="20"/>
      <c r="F7" s="19"/>
      <c r="G7" s="21"/>
      <c r="H7" s="20"/>
      <c r="I7" s="16" t="s">
        <v>11</v>
      </c>
      <c r="J7" s="23">
        <f>+SUM(J3:J6)</f>
        <v>24</v>
      </c>
      <c r="K7" s="24">
        <f>+SUM(K3:K6)</f>
        <v>1</v>
      </c>
      <c r="L7" s="22"/>
    </row>
    <row r="8" spans="2:12">
      <c r="B8" s="19"/>
      <c r="C8" s="19"/>
      <c r="D8" s="19"/>
      <c r="E8" s="20"/>
      <c r="F8" s="19"/>
      <c r="G8" s="21"/>
      <c r="H8" s="15"/>
      <c r="I8" s="7"/>
      <c r="J8" s="43">
        <f>MAX(B:B)-J7</f>
        <v>0</v>
      </c>
      <c r="K8" s="22"/>
      <c r="L8" s="22"/>
    </row>
    <row r="9" spans="2:12" ht="26">
      <c r="B9" s="25" t="s">
        <v>12</v>
      </c>
      <c r="C9" s="25" t="s">
        <v>13</v>
      </c>
      <c r="D9" s="26" t="s">
        <v>14</v>
      </c>
      <c r="E9" s="26" t="s">
        <v>15</v>
      </c>
      <c r="F9" s="25" t="s">
        <v>16</v>
      </c>
      <c r="G9" s="25" t="s">
        <v>17</v>
      </c>
      <c r="H9" s="26" t="s">
        <v>18</v>
      </c>
      <c r="I9" s="25" t="s">
        <v>19</v>
      </c>
      <c r="J9" s="25" t="s">
        <v>20</v>
      </c>
      <c r="K9" s="25" t="s">
        <v>4</v>
      </c>
      <c r="L9" s="26" t="s">
        <v>21</v>
      </c>
    </row>
    <row r="10" spans="2:12" ht="39">
      <c r="B10" s="46">
        <v>1</v>
      </c>
      <c r="C10" s="45" t="s">
        <v>22</v>
      </c>
      <c r="D10" s="38">
        <v>46092</v>
      </c>
      <c r="E10" s="36">
        <v>46094</v>
      </c>
      <c r="F10" s="37" t="s">
        <v>431</v>
      </c>
      <c r="G10" s="30" t="s">
        <v>432</v>
      </c>
      <c r="H10" s="28"/>
      <c r="I10" s="40" t="s">
        <v>433</v>
      </c>
      <c r="J10" s="31" t="s">
        <v>26</v>
      </c>
      <c r="K10" s="146" t="s">
        <v>9</v>
      </c>
      <c r="L10" s="173" t="s">
        <v>434</v>
      </c>
    </row>
    <row r="11" spans="2:12" ht="52">
      <c r="B11" s="46">
        <f t="shared" ref="B11:B33" si="0">B10+1</f>
        <v>2</v>
      </c>
      <c r="C11" s="45" t="s">
        <v>22</v>
      </c>
      <c r="D11" s="38">
        <v>46092</v>
      </c>
      <c r="E11" s="36">
        <v>46100</v>
      </c>
      <c r="F11" s="37" t="s">
        <v>431</v>
      </c>
      <c r="G11" s="30" t="s">
        <v>435</v>
      </c>
      <c r="H11" s="28"/>
      <c r="I11" s="40" t="s">
        <v>436</v>
      </c>
      <c r="J11" s="31" t="s">
        <v>26</v>
      </c>
      <c r="K11" s="146" t="s">
        <v>9</v>
      </c>
      <c r="L11" s="173" t="s">
        <v>437</v>
      </c>
    </row>
    <row r="12" spans="2:12" ht="52">
      <c r="B12" s="46">
        <f t="shared" si="0"/>
        <v>3</v>
      </c>
      <c r="C12" s="45" t="s">
        <v>22</v>
      </c>
      <c r="D12" s="38">
        <v>46092</v>
      </c>
      <c r="E12" s="36">
        <v>46094</v>
      </c>
      <c r="F12" s="37" t="s">
        <v>431</v>
      </c>
      <c r="G12" s="30" t="s">
        <v>438</v>
      </c>
      <c r="H12" s="28"/>
      <c r="I12" s="40" t="s">
        <v>439</v>
      </c>
      <c r="J12" s="31" t="s">
        <v>96</v>
      </c>
      <c r="K12" s="146" t="s">
        <v>9</v>
      </c>
      <c r="L12" s="173" t="s">
        <v>440</v>
      </c>
    </row>
    <row r="13" spans="2:12" ht="39">
      <c r="B13" s="46">
        <f t="shared" si="0"/>
        <v>4</v>
      </c>
      <c r="C13" s="45" t="s">
        <v>22</v>
      </c>
      <c r="D13" s="38">
        <v>46092</v>
      </c>
      <c r="E13" s="36">
        <v>46094</v>
      </c>
      <c r="F13" s="37" t="s">
        <v>431</v>
      </c>
      <c r="G13" s="30" t="s">
        <v>441</v>
      </c>
      <c r="H13" s="28"/>
      <c r="I13" s="40" t="s">
        <v>442</v>
      </c>
      <c r="J13" s="31" t="s">
        <v>96</v>
      </c>
      <c r="K13" s="146" t="s">
        <v>9</v>
      </c>
      <c r="L13" s="173" t="s">
        <v>443</v>
      </c>
    </row>
    <row r="14" spans="2:12" ht="39">
      <c r="B14" s="46">
        <f t="shared" si="0"/>
        <v>5</v>
      </c>
      <c r="C14" s="45" t="s">
        <v>22</v>
      </c>
      <c r="D14" s="38">
        <v>46092</v>
      </c>
      <c r="E14" s="36">
        <v>46094</v>
      </c>
      <c r="F14" s="37" t="s">
        <v>431</v>
      </c>
      <c r="G14" s="30" t="s">
        <v>444</v>
      </c>
      <c r="H14" s="28"/>
      <c r="I14" s="40" t="s">
        <v>445</v>
      </c>
      <c r="J14" s="31" t="s">
        <v>26</v>
      </c>
      <c r="K14" s="146" t="s">
        <v>9</v>
      </c>
      <c r="L14" s="173" t="s">
        <v>446</v>
      </c>
    </row>
    <row r="15" spans="2:12" ht="26">
      <c r="B15" s="46">
        <f t="shared" si="0"/>
        <v>6</v>
      </c>
      <c r="C15" s="45" t="s">
        <v>22</v>
      </c>
      <c r="D15" s="38">
        <v>46092</v>
      </c>
      <c r="E15" s="36">
        <v>46094</v>
      </c>
      <c r="F15" s="37" t="s">
        <v>431</v>
      </c>
      <c r="G15" s="30" t="s">
        <v>447</v>
      </c>
      <c r="H15" s="28"/>
      <c r="I15" s="40" t="s">
        <v>448</v>
      </c>
      <c r="J15" s="31" t="s">
        <v>96</v>
      </c>
      <c r="K15" s="146" t="s">
        <v>9</v>
      </c>
      <c r="L15" s="173" t="s">
        <v>437</v>
      </c>
    </row>
    <row r="16" spans="2:12">
      <c r="B16" s="46">
        <f t="shared" si="0"/>
        <v>7</v>
      </c>
      <c r="C16" s="45" t="s">
        <v>22</v>
      </c>
      <c r="D16" s="38">
        <v>46092</v>
      </c>
      <c r="E16" s="36">
        <v>46097</v>
      </c>
      <c r="F16" s="37" t="s">
        <v>431</v>
      </c>
      <c r="G16" s="30" t="s">
        <v>449</v>
      </c>
      <c r="H16" s="28"/>
      <c r="I16" s="40" t="s">
        <v>450</v>
      </c>
      <c r="J16" s="31" t="s">
        <v>26</v>
      </c>
      <c r="K16" s="146" t="s">
        <v>9</v>
      </c>
      <c r="L16" s="173" t="s">
        <v>451</v>
      </c>
    </row>
    <row r="17" spans="2:12" ht="26">
      <c r="B17" s="46">
        <f t="shared" si="0"/>
        <v>8</v>
      </c>
      <c r="C17" s="45" t="s">
        <v>22</v>
      </c>
      <c r="D17" s="38">
        <v>46092</v>
      </c>
      <c r="E17" s="36">
        <v>46094</v>
      </c>
      <c r="F17" s="37" t="s">
        <v>431</v>
      </c>
      <c r="G17" s="30" t="s">
        <v>452</v>
      </c>
      <c r="H17" s="28"/>
      <c r="I17" s="40" t="s">
        <v>453</v>
      </c>
      <c r="J17" s="31" t="s">
        <v>26</v>
      </c>
      <c r="K17" s="146" t="s">
        <v>9</v>
      </c>
      <c r="L17" s="173" t="s">
        <v>454</v>
      </c>
    </row>
    <row r="18" spans="2:12" ht="26">
      <c r="B18" s="46">
        <f t="shared" si="0"/>
        <v>9</v>
      </c>
      <c r="C18" s="45" t="s">
        <v>22</v>
      </c>
      <c r="D18" s="38">
        <v>46092</v>
      </c>
      <c r="E18" s="36">
        <v>46094</v>
      </c>
      <c r="F18" s="37" t="s">
        <v>431</v>
      </c>
      <c r="G18" s="30" t="s">
        <v>455</v>
      </c>
      <c r="H18" s="28"/>
      <c r="I18" s="40" t="s">
        <v>456</v>
      </c>
      <c r="J18" s="31" t="s">
        <v>96</v>
      </c>
      <c r="K18" s="146" t="s">
        <v>9</v>
      </c>
      <c r="L18" s="173" t="s">
        <v>457</v>
      </c>
    </row>
    <row r="19" spans="2:12">
      <c r="B19" s="46">
        <f t="shared" si="0"/>
        <v>10</v>
      </c>
      <c r="C19" s="45" t="s">
        <v>22</v>
      </c>
      <c r="D19" s="38">
        <v>46092</v>
      </c>
      <c r="E19" s="36">
        <v>46094</v>
      </c>
      <c r="F19" s="37" t="s">
        <v>431</v>
      </c>
      <c r="G19" s="30" t="s">
        <v>458</v>
      </c>
      <c r="H19" s="28"/>
      <c r="I19" s="40" t="s">
        <v>459</v>
      </c>
      <c r="J19" s="31" t="s">
        <v>96</v>
      </c>
      <c r="K19" s="146" t="s">
        <v>9</v>
      </c>
      <c r="L19" s="173" t="s">
        <v>443</v>
      </c>
    </row>
    <row r="20" spans="2:12" ht="26">
      <c r="B20" s="46">
        <f t="shared" si="0"/>
        <v>11</v>
      </c>
      <c r="C20" s="45" t="s">
        <v>22</v>
      </c>
      <c r="D20" s="38">
        <v>46092</v>
      </c>
      <c r="E20" s="36">
        <v>46094</v>
      </c>
      <c r="F20" s="37" t="s">
        <v>431</v>
      </c>
      <c r="G20" s="30" t="s">
        <v>460</v>
      </c>
      <c r="H20" s="28"/>
      <c r="I20" s="40" t="s">
        <v>461</v>
      </c>
      <c r="J20" s="31" t="s">
        <v>26</v>
      </c>
      <c r="K20" s="146" t="s">
        <v>9</v>
      </c>
      <c r="L20" s="173" t="s">
        <v>462</v>
      </c>
    </row>
    <row r="21" spans="2:12" ht="39">
      <c r="B21" s="46">
        <f t="shared" si="0"/>
        <v>12</v>
      </c>
      <c r="C21" s="45" t="s">
        <v>22</v>
      </c>
      <c r="D21" s="38">
        <v>46092</v>
      </c>
      <c r="E21" s="36">
        <v>46094</v>
      </c>
      <c r="F21" s="37" t="s">
        <v>431</v>
      </c>
      <c r="G21" s="30" t="s">
        <v>463</v>
      </c>
      <c r="H21" s="28"/>
      <c r="I21" s="40" t="s">
        <v>464</v>
      </c>
      <c r="J21" s="31" t="s">
        <v>26</v>
      </c>
      <c r="K21" s="146" t="s">
        <v>9</v>
      </c>
      <c r="L21" s="173" t="s">
        <v>465</v>
      </c>
    </row>
    <row r="22" spans="2:12" ht="26">
      <c r="B22" s="46">
        <f t="shared" si="0"/>
        <v>13</v>
      </c>
      <c r="C22" s="45" t="s">
        <v>22</v>
      </c>
      <c r="D22" s="38">
        <v>46092</v>
      </c>
      <c r="E22" s="36">
        <v>46094</v>
      </c>
      <c r="F22" s="37" t="s">
        <v>431</v>
      </c>
      <c r="G22" s="30" t="s">
        <v>466</v>
      </c>
      <c r="H22" s="28"/>
      <c r="I22" s="40" t="s">
        <v>467</v>
      </c>
      <c r="J22" s="31" t="s">
        <v>96</v>
      </c>
      <c r="K22" s="146" t="s">
        <v>9</v>
      </c>
      <c r="L22" s="173" t="s">
        <v>468</v>
      </c>
    </row>
    <row r="23" spans="2:12">
      <c r="B23" s="46">
        <f t="shared" si="0"/>
        <v>14</v>
      </c>
      <c r="C23" s="45" t="s">
        <v>22</v>
      </c>
      <c r="D23" s="38">
        <v>46092</v>
      </c>
      <c r="E23" s="36">
        <v>46094</v>
      </c>
      <c r="F23" s="37" t="s">
        <v>431</v>
      </c>
      <c r="G23" s="30" t="s">
        <v>469</v>
      </c>
      <c r="H23" s="28"/>
      <c r="I23" s="40" t="s">
        <v>470</v>
      </c>
      <c r="J23" s="31" t="s">
        <v>26</v>
      </c>
      <c r="K23" s="146" t="s">
        <v>9</v>
      </c>
      <c r="L23" s="173" t="s">
        <v>471</v>
      </c>
    </row>
    <row r="24" spans="2:12" ht="26">
      <c r="B24" s="46">
        <f t="shared" si="0"/>
        <v>15</v>
      </c>
      <c r="C24" s="45" t="s">
        <v>22</v>
      </c>
      <c r="D24" s="38">
        <v>46092</v>
      </c>
      <c r="E24" s="36">
        <v>46094</v>
      </c>
      <c r="F24" s="37" t="s">
        <v>431</v>
      </c>
      <c r="G24" s="30" t="s">
        <v>472</v>
      </c>
      <c r="H24" s="28"/>
      <c r="I24" s="40" t="s">
        <v>473</v>
      </c>
      <c r="J24" s="31" t="s">
        <v>26</v>
      </c>
      <c r="K24" s="146" t="s">
        <v>9</v>
      </c>
      <c r="L24" s="173" t="s">
        <v>474</v>
      </c>
    </row>
    <row r="25" spans="2:12" ht="26">
      <c r="B25" s="46">
        <f t="shared" si="0"/>
        <v>16</v>
      </c>
      <c r="C25" s="45" t="s">
        <v>22</v>
      </c>
      <c r="D25" s="38">
        <v>46092</v>
      </c>
      <c r="E25" s="36">
        <v>46094</v>
      </c>
      <c r="F25" s="37" t="s">
        <v>431</v>
      </c>
      <c r="G25" s="30" t="s">
        <v>475</v>
      </c>
      <c r="H25" s="28"/>
      <c r="I25" s="40" t="s">
        <v>476</v>
      </c>
      <c r="J25" s="31" t="s">
        <v>96</v>
      </c>
      <c r="K25" s="146" t="s">
        <v>9</v>
      </c>
      <c r="L25" s="173" t="s">
        <v>477</v>
      </c>
    </row>
    <row r="26" spans="2:12" ht="39">
      <c r="B26" s="46">
        <f t="shared" si="0"/>
        <v>17</v>
      </c>
      <c r="C26" s="45" t="s">
        <v>22</v>
      </c>
      <c r="D26" s="38">
        <v>46092</v>
      </c>
      <c r="E26" s="36">
        <v>46094</v>
      </c>
      <c r="F26" s="37" t="s">
        <v>431</v>
      </c>
      <c r="G26" s="30" t="s">
        <v>478</v>
      </c>
      <c r="H26" s="28"/>
      <c r="I26" s="40" t="s">
        <v>479</v>
      </c>
      <c r="J26" s="31" t="s">
        <v>96</v>
      </c>
      <c r="K26" s="146" t="s">
        <v>9</v>
      </c>
      <c r="L26" s="173" t="s">
        <v>480</v>
      </c>
    </row>
    <row r="27" spans="2:12" ht="52">
      <c r="B27" s="46">
        <f t="shared" si="0"/>
        <v>18</v>
      </c>
      <c r="C27" s="45" t="s">
        <v>22</v>
      </c>
      <c r="D27" s="38">
        <v>46092</v>
      </c>
      <c r="E27" s="36">
        <v>46094</v>
      </c>
      <c r="F27" s="37" t="s">
        <v>431</v>
      </c>
      <c r="G27" s="30" t="s">
        <v>481</v>
      </c>
      <c r="H27" s="28"/>
      <c r="I27" s="40" t="s">
        <v>482</v>
      </c>
      <c r="J27" s="31" t="s">
        <v>26</v>
      </c>
      <c r="K27" s="146" t="s">
        <v>9</v>
      </c>
      <c r="L27" s="173"/>
    </row>
    <row r="28" spans="2:12" ht="260">
      <c r="B28" s="46">
        <f t="shared" si="0"/>
        <v>19</v>
      </c>
      <c r="C28" s="45" t="s">
        <v>22</v>
      </c>
      <c r="D28" s="38">
        <v>46092</v>
      </c>
      <c r="E28" s="36">
        <v>46094</v>
      </c>
      <c r="F28" s="37" t="s">
        <v>431</v>
      </c>
      <c r="G28" s="30" t="s">
        <v>483</v>
      </c>
      <c r="H28" s="28"/>
      <c r="I28" s="40" t="s">
        <v>484</v>
      </c>
      <c r="J28" s="31" t="s">
        <v>26</v>
      </c>
      <c r="K28" s="146" t="s">
        <v>9</v>
      </c>
      <c r="L28" s="173"/>
    </row>
    <row r="29" spans="2:12" ht="26">
      <c r="B29" s="46">
        <f t="shared" si="0"/>
        <v>20</v>
      </c>
      <c r="C29" s="45" t="s">
        <v>22</v>
      </c>
      <c r="D29" s="38">
        <v>46092</v>
      </c>
      <c r="E29" s="36">
        <v>46094</v>
      </c>
      <c r="F29" s="37" t="s">
        <v>431</v>
      </c>
      <c r="G29" s="30" t="s">
        <v>485</v>
      </c>
      <c r="H29" s="28"/>
      <c r="I29" s="40" t="s">
        <v>486</v>
      </c>
      <c r="J29" s="31" t="s">
        <v>26</v>
      </c>
      <c r="K29" s="146" t="s">
        <v>9</v>
      </c>
      <c r="L29" s="173"/>
    </row>
    <row r="30" spans="2:12" ht="26">
      <c r="B30" s="46">
        <f t="shared" si="0"/>
        <v>21</v>
      </c>
      <c r="C30" s="45" t="s">
        <v>22</v>
      </c>
      <c r="D30" s="38">
        <v>46092</v>
      </c>
      <c r="E30" s="36">
        <v>46094</v>
      </c>
      <c r="F30" s="37" t="s">
        <v>431</v>
      </c>
      <c r="G30" s="30" t="s">
        <v>485</v>
      </c>
      <c r="H30" s="28"/>
      <c r="I30" s="40"/>
      <c r="J30" s="31" t="s">
        <v>26</v>
      </c>
      <c r="K30" s="146" t="s">
        <v>9</v>
      </c>
      <c r="L30" s="173"/>
    </row>
    <row r="31" spans="2:12" ht="52">
      <c r="B31" s="46">
        <f t="shared" si="0"/>
        <v>22</v>
      </c>
      <c r="C31" s="45" t="s">
        <v>22</v>
      </c>
      <c r="D31" s="38">
        <v>46092</v>
      </c>
      <c r="E31" s="36">
        <v>46094</v>
      </c>
      <c r="F31" s="37" t="s">
        <v>431</v>
      </c>
      <c r="G31" s="30" t="s">
        <v>487</v>
      </c>
      <c r="H31" s="28"/>
      <c r="I31" s="40" t="s">
        <v>488</v>
      </c>
      <c r="J31" s="31" t="s">
        <v>26</v>
      </c>
      <c r="K31" s="146" t="s">
        <v>9</v>
      </c>
      <c r="L31" s="173" t="s">
        <v>437</v>
      </c>
    </row>
    <row r="32" spans="2:12">
      <c r="B32" s="46">
        <f t="shared" si="0"/>
        <v>23</v>
      </c>
      <c r="C32" s="45" t="s">
        <v>22</v>
      </c>
      <c r="D32" s="38">
        <v>46092</v>
      </c>
      <c r="E32" s="36">
        <v>46094</v>
      </c>
      <c r="F32" s="37" t="s">
        <v>431</v>
      </c>
      <c r="G32" s="30" t="s">
        <v>489</v>
      </c>
      <c r="H32" s="28"/>
      <c r="I32" s="40" t="s">
        <v>486</v>
      </c>
      <c r="J32" s="31" t="s">
        <v>26</v>
      </c>
      <c r="K32" s="146" t="s">
        <v>9</v>
      </c>
      <c r="L32" s="173"/>
    </row>
    <row r="33" spans="1:12" ht="52">
      <c r="B33" s="46">
        <f t="shared" si="0"/>
        <v>24</v>
      </c>
      <c r="C33" s="45" t="s">
        <v>22</v>
      </c>
      <c r="D33" s="38">
        <v>46099</v>
      </c>
      <c r="E33" s="36">
        <v>46094</v>
      </c>
      <c r="F33" s="37" t="s">
        <v>431</v>
      </c>
      <c r="G33" s="30" t="s">
        <v>490</v>
      </c>
      <c r="H33" s="28"/>
      <c r="I33" s="40" t="s">
        <v>1484</v>
      </c>
      <c r="J33" s="31" t="s">
        <v>26</v>
      </c>
      <c r="K33" s="146" t="s">
        <v>9</v>
      </c>
      <c r="L33" s="173"/>
    </row>
    <row r="34" spans="1:12">
      <c r="A34" s="13" t="s">
        <v>149</v>
      </c>
      <c r="B34" s="13" t="s">
        <v>149</v>
      </c>
      <c r="C34" s="33" t="s">
        <v>149</v>
      </c>
      <c r="D34" s="33" t="s">
        <v>149</v>
      </c>
      <c r="E34" s="13" t="s">
        <v>149</v>
      </c>
      <c r="F34" s="33" t="s">
        <v>149</v>
      </c>
      <c r="G34" s="13" t="s">
        <v>149</v>
      </c>
      <c r="H34" s="13" t="s">
        <v>149</v>
      </c>
      <c r="I34" s="13" t="s">
        <v>149</v>
      </c>
      <c r="J34" s="13" t="s">
        <v>149</v>
      </c>
      <c r="K34" s="13" t="s">
        <v>149</v>
      </c>
      <c r="L34" s="13" t="s">
        <v>149</v>
      </c>
    </row>
  </sheetData>
  <autoFilter ref="B9:L9" xr:uid="{262D484F-FD24-4B41-840B-4E727D26D9FE}"/>
  <conditionalFormatting sqref="G10:G33 I10:J33 L10:L33">
    <cfRule type="cellIs" dxfId="140" priority="8" operator="equal">
      <formula>"Closed"</formula>
    </cfRule>
    <cfRule type="cellIs" dxfId="139" priority="9" operator="equal">
      <formula>"Partial"</formula>
    </cfRule>
    <cfRule type="cellIs" dxfId="138" priority="10" operator="equal">
      <formula>"Data Room"</formula>
    </cfRule>
    <cfRule type="cellIs" dxfId="137" priority="11" operator="equal">
      <formula>"Partial"</formula>
    </cfRule>
    <cfRule type="cellIs" dxfId="136" priority="12" operator="equal">
      <formula>"In-Process"</formula>
    </cfRule>
    <cfRule type="cellIs" dxfId="135" priority="13" operator="equal">
      <formula>"Defer"</formula>
    </cfRule>
    <cfRule type="cellIs" dxfId="134" priority="14" operator="equal">
      <formula>"Closed"</formula>
    </cfRule>
    <cfRule type="cellIs" dxfId="133" priority="15" operator="equal">
      <formula>"Open"</formula>
    </cfRule>
    <cfRule type="cellIs" dxfId="132" priority="16" operator="equal">
      <formula>"WB In-Process"</formula>
    </cfRule>
  </conditionalFormatting>
  <conditionalFormatting sqref="H10:H33">
    <cfRule type="expression" dxfId="131" priority="4">
      <formula>$B10=$B$6</formula>
    </cfRule>
    <cfRule type="expression" dxfId="130" priority="5">
      <formula>$B10=$B$7</formula>
    </cfRule>
  </conditionalFormatting>
  <conditionalFormatting sqref="I10:J33 G10:G33 L10:L33">
    <cfRule type="expression" dxfId="129" priority="6">
      <formula>G10="High"</formula>
    </cfRule>
    <cfRule type="expression" dxfId="128" priority="7">
      <formula>G10="Very High"</formula>
    </cfRule>
  </conditionalFormatting>
  <conditionalFormatting sqref="J10:J33">
    <cfRule type="cellIs" dxfId="127" priority="1" stopIfTrue="1" operator="equal">
      <formula>"High"</formula>
    </cfRule>
    <cfRule type="cellIs" dxfId="126" priority="2" stopIfTrue="1" operator="equal">
      <formula>"Medium"</formula>
    </cfRule>
    <cfRule type="cellIs" dxfId="125" priority="3" stopIfTrue="1" operator="equal">
      <formula>"Low"</formula>
    </cfRule>
  </conditionalFormatting>
  <conditionalFormatting sqref="K2 I3:K7">
    <cfRule type="cellIs" dxfId="124" priority="38" operator="equal">
      <formula>"scheduled"</formula>
    </cfRule>
    <cfRule type="cellIs" dxfId="123" priority="39" operator="equal">
      <formula>"defer"</formula>
    </cfRule>
    <cfRule type="cellIs" dxfId="122" priority="40" operator="equal">
      <formula>"open"</formula>
    </cfRule>
    <cfRule type="cellIs" dxfId="121" priority="41" operator="equal">
      <formula>"complete"</formula>
    </cfRule>
    <cfRule type="cellIs" dxfId="120" priority="42" operator="equal">
      <formula>"in process"</formula>
    </cfRule>
  </conditionalFormatting>
  <conditionalFormatting sqref="K8:K33">
    <cfRule type="cellIs" dxfId="119" priority="17" operator="equal">
      <formula>"scheduled"</formula>
    </cfRule>
    <cfRule type="cellIs" dxfId="118" priority="18" operator="equal">
      <formula>"defer"</formula>
    </cfRule>
    <cfRule type="cellIs" dxfId="117" priority="19" operator="equal">
      <formula>"open"</formula>
    </cfRule>
    <cfRule type="cellIs" dxfId="116" priority="20" operator="equal">
      <formula>"complete"</formula>
    </cfRule>
    <cfRule type="cellIs" dxfId="115" priority="21" operator="equal">
      <formula>"in process"</formula>
    </cfRule>
  </conditionalFormatting>
  <dataValidations count="2">
    <dataValidation type="list" allowBlank="1" showInputMessage="1" showErrorMessage="1" sqref="J12:J33" xr:uid="{799DF2EB-A8AE-4307-840A-3EB99452E0A7}">
      <formula1>"High, Medium, Low"</formula1>
    </dataValidation>
    <dataValidation type="list" allowBlank="1" showInputMessage="1" showErrorMessage="1" sqref="K10:K33" xr:uid="{AE4B012E-45CF-4337-86DF-EBF7BD37F5DA}">
      <formula1>$I$3:$I$6</formula1>
    </dataValidation>
  </dataValidations>
  <pageMargins left="0.7" right="0.7" top="0.75" bottom="0.75" header="0.3" footer="0.3"/>
  <pageSetup scale="4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3F75-AD96-4F2B-8CCC-2CE63F753386}">
  <sheetPr codeName="Sheet10">
    <tabColor theme="4" tint="0.79998168889431442"/>
    <pageSetUpPr fitToPage="1"/>
  </sheetPr>
  <dimension ref="B2:M44"/>
  <sheetViews>
    <sheetView showGridLines="0" view="pageBreakPreview" zoomScaleNormal="85" zoomScaleSheetLayoutView="100" workbookViewId="0">
      <pane xSplit="3" ySplit="9" topLeftCell="D10" activePane="bottomRight" state="frozen"/>
      <selection pane="topRight" activeCell="C370" sqref="C370"/>
      <selection pane="bottomLeft" activeCell="C370" sqref="C37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3">
      <c r="B2" s="6" t="s">
        <v>3</v>
      </c>
      <c r="C2" s="34"/>
      <c r="D2" s="34"/>
      <c r="E2" s="7"/>
      <c r="F2" s="34"/>
      <c r="G2" s="8"/>
      <c r="H2" s="7"/>
      <c r="I2" s="9" t="s">
        <v>4</v>
      </c>
      <c r="J2" s="10" t="s">
        <v>5</v>
      </c>
      <c r="K2" s="11" t="s">
        <v>6</v>
      </c>
      <c r="L2" s="12"/>
    </row>
    <row r="3" spans="2:13">
      <c r="B3" s="7"/>
      <c r="C3" s="35"/>
      <c r="D3" s="14"/>
      <c r="E3" s="14"/>
      <c r="F3" s="14"/>
      <c r="G3" s="15"/>
      <c r="H3" s="7"/>
      <c r="I3" s="16" t="s">
        <v>7</v>
      </c>
      <c r="J3" s="17">
        <f>+COUNTIFS(K$8:K$1246,$I3)</f>
        <v>1</v>
      </c>
      <c r="K3" s="18">
        <f>J3/$J$7</f>
        <v>2.8571428571428571E-2</v>
      </c>
      <c r="L3" s="14"/>
    </row>
    <row r="4" spans="2:13">
      <c r="B4" s="6"/>
      <c r="C4" s="34"/>
      <c r="D4" s="34"/>
      <c r="E4" s="7"/>
      <c r="F4" s="34"/>
      <c r="G4" s="8"/>
      <c r="H4" s="7"/>
      <c r="I4" s="16" t="s">
        <v>8</v>
      </c>
      <c r="J4" s="17">
        <f>+COUNTIFS(K$8:K$1246,$I4)</f>
        <v>2</v>
      </c>
      <c r="K4" s="18">
        <f>J4/$J$7</f>
        <v>5.7142857142857141E-2</v>
      </c>
      <c r="L4" s="12"/>
    </row>
    <row r="5" spans="2:13">
      <c r="B5" s="19"/>
      <c r="C5" s="19"/>
      <c r="D5" s="19"/>
      <c r="E5" s="20"/>
      <c r="F5" s="19"/>
      <c r="G5" s="21"/>
      <c r="H5" s="20"/>
      <c r="I5" s="16" t="s">
        <v>9</v>
      </c>
      <c r="J5" s="17">
        <f>+COUNTIFS(K$8:K$1246,$I5)</f>
        <v>32</v>
      </c>
      <c r="K5" s="18">
        <f>J5/$J$7</f>
        <v>0.91428571428571426</v>
      </c>
      <c r="L5" s="22"/>
    </row>
    <row r="6" spans="2:13">
      <c r="B6" s="19"/>
      <c r="C6" s="19"/>
      <c r="D6" s="19"/>
      <c r="E6" s="20"/>
      <c r="F6" s="19"/>
      <c r="G6" s="21"/>
      <c r="H6" s="20"/>
      <c r="I6" s="16" t="s">
        <v>10</v>
      </c>
      <c r="J6" s="17">
        <f>+COUNTIFS(K$8:K$1246,$I6)</f>
        <v>0</v>
      </c>
      <c r="K6" s="18">
        <f>J6/$J$7</f>
        <v>0</v>
      </c>
      <c r="L6" s="22"/>
    </row>
    <row r="7" spans="2:13">
      <c r="B7" s="19"/>
      <c r="C7" s="19"/>
      <c r="D7" s="19"/>
      <c r="E7" s="20"/>
      <c r="F7" s="19"/>
      <c r="G7" s="21"/>
      <c r="H7" s="20"/>
      <c r="I7" s="16" t="s">
        <v>11</v>
      </c>
      <c r="J7" s="23">
        <f>+SUM(J3:J6)</f>
        <v>35</v>
      </c>
      <c r="K7" s="24">
        <f>+SUM(K3:K6)</f>
        <v>1</v>
      </c>
      <c r="L7" s="22"/>
    </row>
    <row r="8" spans="2:13">
      <c r="B8" s="19"/>
      <c r="C8" s="19"/>
      <c r="D8" s="19"/>
      <c r="E8" s="20"/>
      <c r="F8" s="19"/>
      <c r="G8" s="21"/>
      <c r="H8" s="15"/>
      <c r="I8" s="7"/>
      <c r="J8" s="43">
        <f>MAX(B:B)-J7</f>
        <v>0</v>
      </c>
      <c r="K8" s="22"/>
      <c r="L8" s="22"/>
    </row>
    <row r="9" spans="2:13" ht="26">
      <c r="B9" s="25" t="s">
        <v>12</v>
      </c>
      <c r="C9" s="25" t="s">
        <v>13</v>
      </c>
      <c r="D9" s="26" t="s">
        <v>14</v>
      </c>
      <c r="E9" s="26" t="s">
        <v>15</v>
      </c>
      <c r="F9" s="25" t="s">
        <v>16</v>
      </c>
      <c r="G9" s="25" t="s">
        <v>17</v>
      </c>
      <c r="H9" s="26" t="s">
        <v>18</v>
      </c>
      <c r="I9" s="25" t="s">
        <v>19</v>
      </c>
      <c r="J9" s="25" t="s">
        <v>20</v>
      </c>
      <c r="K9" s="25" t="s">
        <v>4</v>
      </c>
      <c r="L9" s="26" t="s">
        <v>21</v>
      </c>
    </row>
    <row r="10" spans="2:13" ht="117">
      <c r="B10" s="46">
        <v>1</v>
      </c>
      <c r="C10" s="45" t="s">
        <v>22</v>
      </c>
      <c r="D10" s="38">
        <v>46093</v>
      </c>
      <c r="E10" s="36">
        <v>46097</v>
      </c>
      <c r="F10" s="37" t="s">
        <v>491</v>
      </c>
      <c r="G10" s="30" t="s">
        <v>492</v>
      </c>
      <c r="H10" s="28"/>
      <c r="I10" s="44" t="s">
        <v>493</v>
      </c>
      <c r="J10" s="31" t="s">
        <v>26</v>
      </c>
      <c r="K10" s="146" t="s">
        <v>9</v>
      </c>
      <c r="L10" s="31" t="s">
        <v>494</v>
      </c>
      <c r="M10"/>
    </row>
    <row r="11" spans="2:13" ht="52">
      <c r="B11" s="46">
        <f t="shared" ref="B11:B44" si="0">B10+1</f>
        <v>2</v>
      </c>
      <c r="C11" s="45" t="s">
        <v>22</v>
      </c>
      <c r="D11" s="38">
        <v>46093</v>
      </c>
      <c r="E11" s="36">
        <v>46097</v>
      </c>
      <c r="F11" s="37" t="s">
        <v>491</v>
      </c>
      <c r="G11" s="30" t="s">
        <v>495</v>
      </c>
      <c r="H11" s="28"/>
      <c r="I11" s="44" t="s">
        <v>496</v>
      </c>
      <c r="J11" s="31" t="s">
        <v>26</v>
      </c>
      <c r="K11" s="146" t="s">
        <v>9</v>
      </c>
      <c r="L11" s="31" t="s">
        <v>497</v>
      </c>
      <c r="M11"/>
    </row>
    <row r="12" spans="2:13" ht="104">
      <c r="B12" s="46">
        <f t="shared" si="0"/>
        <v>3</v>
      </c>
      <c r="C12" s="45" t="s">
        <v>22</v>
      </c>
      <c r="D12" s="38">
        <v>46093</v>
      </c>
      <c r="E12" s="36">
        <v>46097</v>
      </c>
      <c r="F12" s="37" t="s">
        <v>491</v>
      </c>
      <c r="G12" s="30" t="s">
        <v>498</v>
      </c>
      <c r="H12" s="28" t="s">
        <v>499</v>
      </c>
      <c r="I12" s="44" t="s">
        <v>500</v>
      </c>
      <c r="J12" s="31" t="s">
        <v>26</v>
      </c>
      <c r="K12" s="146" t="s">
        <v>9</v>
      </c>
      <c r="L12" s="31" t="s">
        <v>501</v>
      </c>
      <c r="M12"/>
    </row>
    <row r="13" spans="2:13" ht="52">
      <c r="B13" s="46">
        <f t="shared" si="0"/>
        <v>4</v>
      </c>
      <c r="C13" s="45" t="s">
        <v>22</v>
      </c>
      <c r="D13" s="38">
        <v>46093</v>
      </c>
      <c r="E13" s="36">
        <v>46097</v>
      </c>
      <c r="F13" s="37" t="s">
        <v>491</v>
      </c>
      <c r="G13" s="30" t="s">
        <v>502</v>
      </c>
      <c r="H13" s="28"/>
      <c r="I13" s="44" t="s">
        <v>503</v>
      </c>
      <c r="J13" s="31" t="s">
        <v>26</v>
      </c>
      <c r="K13" s="146" t="s">
        <v>9</v>
      </c>
      <c r="L13" s="31" t="s">
        <v>504</v>
      </c>
      <c r="M13"/>
    </row>
    <row r="14" spans="2:13" ht="65">
      <c r="B14" s="46">
        <f t="shared" si="0"/>
        <v>5</v>
      </c>
      <c r="C14" s="45" t="s">
        <v>22</v>
      </c>
      <c r="D14" s="38">
        <v>46093</v>
      </c>
      <c r="E14" s="45"/>
      <c r="F14" s="37" t="s">
        <v>491</v>
      </c>
      <c r="G14" s="30" t="s">
        <v>505</v>
      </c>
      <c r="H14" s="28"/>
      <c r="I14" s="44"/>
      <c r="J14" s="31" t="s">
        <v>26</v>
      </c>
      <c r="K14" s="146" t="s">
        <v>7</v>
      </c>
      <c r="L14" s="31"/>
      <c r="M14"/>
    </row>
    <row r="15" spans="2:13" ht="91">
      <c r="B15" s="46">
        <f t="shared" si="0"/>
        <v>6</v>
      </c>
      <c r="C15" s="45" t="s">
        <v>22</v>
      </c>
      <c r="D15" s="38">
        <v>46093</v>
      </c>
      <c r="E15" s="36">
        <v>46106</v>
      </c>
      <c r="F15" s="37" t="s">
        <v>491</v>
      </c>
      <c r="G15" s="30" t="s">
        <v>506</v>
      </c>
      <c r="H15" s="28" t="s">
        <v>507</v>
      </c>
      <c r="I15" s="44" t="s">
        <v>508</v>
      </c>
      <c r="J15" s="31" t="s">
        <v>26</v>
      </c>
      <c r="K15" s="146" t="s">
        <v>9</v>
      </c>
      <c r="L15" s="31" t="s">
        <v>509</v>
      </c>
      <c r="M15"/>
    </row>
    <row r="16" spans="2:13" ht="52">
      <c r="B16" s="46">
        <f t="shared" si="0"/>
        <v>7</v>
      </c>
      <c r="C16" s="45" t="s">
        <v>22</v>
      </c>
      <c r="D16" s="38">
        <v>46093</v>
      </c>
      <c r="E16" s="36">
        <v>46097</v>
      </c>
      <c r="F16" s="37" t="s">
        <v>491</v>
      </c>
      <c r="G16" s="30" t="s">
        <v>510</v>
      </c>
      <c r="H16" s="28"/>
      <c r="I16" s="44" t="s">
        <v>195</v>
      </c>
      <c r="J16" s="31" t="s">
        <v>26</v>
      </c>
      <c r="K16" s="146" t="s">
        <v>9</v>
      </c>
      <c r="L16" s="31"/>
      <c r="M16"/>
    </row>
    <row r="17" spans="2:13" ht="104">
      <c r="B17" s="46">
        <f t="shared" si="0"/>
        <v>8</v>
      </c>
      <c r="C17" s="45" t="s">
        <v>22</v>
      </c>
      <c r="D17" s="38">
        <v>46093</v>
      </c>
      <c r="E17" s="36">
        <v>46097</v>
      </c>
      <c r="F17" s="37" t="s">
        <v>491</v>
      </c>
      <c r="G17" s="30" t="s">
        <v>511</v>
      </c>
      <c r="H17" s="28"/>
      <c r="I17" s="44" t="s">
        <v>512</v>
      </c>
      <c r="J17" s="31" t="s">
        <v>96</v>
      </c>
      <c r="K17" s="146" t="s">
        <v>9</v>
      </c>
      <c r="L17" s="31"/>
      <c r="M17"/>
    </row>
    <row r="18" spans="2:13" ht="78">
      <c r="B18" s="46">
        <f t="shared" si="0"/>
        <v>9</v>
      </c>
      <c r="C18" s="45" t="s">
        <v>22</v>
      </c>
      <c r="D18" s="38">
        <v>46093</v>
      </c>
      <c r="E18" s="36">
        <v>46097</v>
      </c>
      <c r="F18" s="37" t="s">
        <v>491</v>
      </c>
      <c r="G18" s="30" t="s">
        <v>513</v>
      </c>
      <c r="H18" s="28" t="s">
        <v>514</v>
      </c>
      <c r="I18" s="44" t="s">
        <v>515</v>
      </c>
      <c r="J18" s="31" t="s">
        <v>26</v>
      </c>
      <c r="K18" s="146" t="s">
        <v>9</v>
      </c>
      <c r="L18" s="31" t="s">
        <v>516</v>
      </c>
      <c r="M18"/>
    </row>
    <row r="19" spans="2:13" ht="78">
      <c r="B19" s="46">
        <f t="shared" si="0"/>
        <v>10</v>
      </c>
      <c r="C19" s="45" t="s">
        <v>22</v>
      </c>
      <c r="D19" s="38">
        <v>46093</v>
      </c>
      <c r="E19" s="36">
        <v>46097</v>
      </c>
      <c r="F19" s="37" t="s">
        <v>491</v>
      </c>
      <c r="G19" s="30" t="s">
        <v>517</v>
      </c>
      <c r="H19" s="32" t="s">
        <v>518</v>
      </c>
      <c r="I19" s="44" t="s">
        <v>519</v>
      </c>
      <c r="J19" s="31" t="s">
        <v>96</v>
      </c>
      <c r="K19" s="146" t="s">
        <v>8</v>
      </c>
      <c r="L19" s="31" t="s">
        <v>520</v>
      </c>
      <c r="M19"/>
    </row>
    <row r="20" spans="2:13" ht="65">
      <c r="B20" s="46">
        <f t="shared" si="0"/>
        <v>11</v>
      </c>
      <c r="C20" s="45" t="s">
        <v>22</v>
      </c>
      <c r="D20" s="38">
        <v>46093</v>
      </c>
      <c r="E20" s="36">
        <v>46097</v>
      </c>
      <c r="F20" s="37" t="s">
        <v>491</v>
      </c>
      <c r="G20" s="30" t="s">
        <v>521</v>
      </c>
      <c r="H20" s="32" t="s">
        <v>522</v>
      </c>
      <c r="I20" s="44" t="s">
        <v>523</v>
      </c>
      <c r="J20" s="31" t="s">
        <v>26</v>
      </c>
      <c r="K20" s="146" t="s">
        <v>9</v>
      </c>
      <c r="L20" s="31"/>
      <c r="M20"/>
    </row>
    <row r="21" spans="2:13" ht="52">
      <c r="B21" s="46">
        <f t="shared" si="0"/>
        <v>12</v>
      </c>
      <c r="C21" s="45" t="s">
        <v>22</v>
      </c>
      <c r="D21" s="38">
        <v>46093</v>
      </c>
      <c r="E21" s="36">
        <v>46097</v>
      </c>
      <c r="F21" s="37" t="s">
        <v>491</v>
      </c>
      <c r="G21" s="30" t="s">
        <v>524</v>
      </c>
      <c r="H21" s="28"/>
      <c r="I21" s="44" t="s">
        <v>199</v>
      </c>
      <c r="J21" s="31" t="s">
        <v>96</v>
      </c>
      <c r="K21" s="146" t="s">
        <v>9</v>
      </c>
      <c r="L21" s="31"/>
      <c r="M21"/>
    </row>
    <row r="22" spans="2:13" ht="91">
      <c r="B22" s="46">
        <f t="shared" si="0"/>
        <v>13</v>
      </c>
      <c r="C22" s="45" t="s">
        <v>22</v>
      </c>
      <c r="D22" s="38">
        <v>46093</v>
      </c>
      <c r="E22" s="36">
        <v>46097</v>
      </c>
      <c r="F22" s="37" t="s">
        <v>491</v>
      </c>
      <c r="G22" s="30" t="s">
        <v>525</v>
      </c>
      <c r="H22" s="28"/>
      <c r="I22" s="44" t="s">
        <v>199</v>
      </c>
      <c r="J22" s="31" t="s">
        <v>96</v>
      </c>
      <c r="K22" s="146" t="s">
        <v>9</v>
      </c>
      <c r="L22" s="31"/>
      <c r="M22"/>
    </row>
    <row r="23" spans="2:13" ht="52">
      <c r="B23" s="46">
        <f t="shared" si="0"/>
        <v>14</v>
      </c>
      <c r="C23" s="45" t="s">
        <v>22</v>
      </c>
      <c r="D23" s="38">
        <v>46093</v>
      </c>
      <c r="E23" s="36">
        <v>46097</v>
      </c>
      <c r="F23" s="37" t="s">
        <v>491</v>
      </c>
      <c r="G23" s="30" t="s">
        <v>526</v>
      </c>
      <c r="H23" s="28"/>
      <c r="I23" s="44" t="s">
        <v>527</v>
      </c>
      <c r="J23" s="31" t="s">
        <v>26</v>
      </c>
      <c r="K23" s="146" t="s">
        <v>9</v>
      </c>
      <c r="L23" s="31" t="s">
        <v>528</v>
      </c>
      <c r="M23"/>
    </row>
    <row r="24" spans="2:13" ht="65">
      <c r="B24" s="46">
        <f t="shared" si="0"/>
        <v>15</v>
      </c>
      <c r="C24" s="45" t="s">
        <v>22</v>
      </c>
      <c r="D24" s="38">
        <v>46093</v>
      </c>
      <c r="E24" s="36">
        <v>46097</v>
      </c>
      <c r="F24" s="37" t="s">
        <v>491</v>
      </c>
      <c r="G24" s="30" t="s">
        <v>529</v>
      </c>
      <c r="H24" s="28" t="s">
        <v>530</v>
      </c>
      <c r="I24" s="44" t="s">
        <v>531</v>
      </c>
      <c r="J24" s="31" t="s">
        <v>26</v>
      </c>
      <c r="K24" s="146" t="s">
        <v>9</v>
      </c>
      <c r="L24" s="31" t="s">
        <v>532</v>
      </c>
      <c r="M24"/>
    </row>
    <row r="25" spans="2:13" ht="91">
      <c r="B25" s="46">
        <f t="shared" si="0"/>
        <v>16</v>
      </c>
      <c r="C25" s="45" t="s">
        <v>22</v>
      </c>
      <c r="D25" s="38">
        <v>46093</v>
      </c>
      <c r="E25" s="36">
        <v>46097</v>
      </c>
      <c r="F25" s="37" t="s">
        <v>491</v>
      </c>
      <c r="G25" s="30" t="s">
        <v>533</v>
      </c>
      <c r="H25" s="28"/>
      <c r="I25" s="44" t="s">
        <v>199</v>
      </c>
      <c r="J25" s="31" t="s">
        <v>26</v>
      </c>
      <c r="K25" s="146" t="s">
        <v>9</v>
      </c>
      <c r="L25" s="31"/>
      <c r="M25"/>
    </row>
    <row r="26" spans="2:13" ht="39">
      <c r="B26" s="46">
        <f t="shared" si="0"/>
        <v>17</v>
      </c>
      <c r="C26" s="45" t="s">
        <v>22</v>
      </c>
      <c r="D26" s="38">
        <v>46093</v>
      </c>
      <c r="E26" s="36">
        <v>46097</v>
      </c>
      <c r="F26" s="37" t="s">
        <v>491</v>
      </c>
      <c r="G26" s="30" t="s">
        <v>534</v>
      </c>
      <c r="H26" s="28"/>
      <c r="I26" s="44" t="s">
        <v>535</v>
      </c>
      <c r="J26" s="31" t="s">
        <v>26</v>
      </c>
      <c r="K26" s="146" t="s">
        <v>9</v>
      </c>
      <c r="L26" s="31" t="s">
        <v>158</v>
      </c>
      <c r="M26"/>
    </row>
    <row r="27" spans="2:13" ht="52">
      <c r="B27" s="46">
        <f t="shared" si="0"/>
        <v>18</v>
      </c>
      <c r="C27" s="45" t="s">
        <v>22</v>
      </c>
      <c r="D27" s="38">
        <v>46093</v>
      </c>
      <c r="E27" s="36">
        <v>46098</v>
      </c>
      <c r="F27" s="37" t="s">
        <v>491</v>
      </c>
      <c r="G27" s="30" t="s">
        <v>536</v>
      </c>
      <c r="H27" s="28"/>
      <c r="I27" s="44" t="s">
        <v>537</v>
      </c>
      <c r="J27" s="31" t="s">
        <v>96</v>
      </c>
      <c r="K27" s="146" t="s">
        <v>9</v>
      </c>
      <c r="L27" s="31"/>
      <c r="M27"/>
    </row>
    <row r="28" spans="2:13" ht="52">
      <c r="B28" s="46">
        <f t="shared" si="0"/>
        <v>19</v>
      </c>
      <c r="C28" s="45" t="s">
        <v>22</v>
      </c>
      <c r="D28" s="38">
        <v>46093</v>
      </c>
      <c r="E28" s="36">
        <v>46098</v>
      </c>
      <c r="F28" s="37" t="s">
        <v>491</v>
      </c>
      <c r="G28" s="30" t="s">
        <v>538</v>
      </c>
      <c r="H28" s="28"/>
      <c r="I28" s="44" t="s">
        <v>199</v>
      </c>
      <c r="J28" s="31" t="s">
        <v>96</v>
      </c>
      <c r="K28" s="146" t="s">
        <v>9</v>
      </c>
      <c r="L28" s="31"/>
      <c r="M28"/>
    </row>
    <row r="29" spans="2:13" ht="78">
      <c r="B29" s="46">
        <f t="shared" si="0"/>
        <v>20</v>
      </c>
      <c r="C29" s="45" t="s">
        <v>22</v>
      </c>
      <c r="D29" s="38">
        <v>46093</v>
      </c>
      <c r="E29" s="36">
        <v>46101</v>
      </c>
      <c r="F29" s="37" t="s">
        <v>491</v>
      </c>
      <c r="G29" s="30" t="s">
        <v>539</v>
      </c>
      <c r="H29" s="28" t="s">
        <v>540</v>
      </c>
      <c r="I29" s="44" t="s">
        <v>541</v>
      </c>
      <c r="J29" s="31" t="s">
        <v>26</v>
      </c>
      <c r="K29" s="146" t="s">
        <v>9</v>
      </c>
      <c r="L29" s="31" t="s">
        <v>542</v>
      </c>
      <c r="M29"/>
    </row>
    <row r="30" spans="2:13" ht="65">
      <c r="B30" s="46">
        <f t="shared" si="0"/>
        <v>21</v>
      </c>
      <c r="C30" s="45" t="s">
        <v>22</v>
      </c>
      <c r="D30" s="38">
        <v>46093</v>
      </c>
      <c r="E30" s="36">
        <v>46100</v>
      </c>
      <c r="F30" s="37" t="s">
        <v>491</v>
      </c>
      <c r="G30" s="30" t="s">
        <v>543</v>
      </c>
      <c r="H30" s="28"/>
      <c r="I30" s="44" t="s">
        <v>544</v>
      </c>
      <c r="J30" s="31" t="s">
        <v>96</v>
      </c>
      <c r="K30" s="146" t="s">
        <v>9</v>
      </c>
      <c r="L30" s="31"/>
      <c r="M30"/>
    </row>
    <row r="31" spans="2:13" ht="78">
      <c r="B31" s="46">
        <f t="shared" si="0"/>
        <v>22</v>
      </c>
      <c r="C31" s="45" t="s">
        <v>22</v>
      </c>
      <c r="D31" s="38">
        <v>46093</v>
      </c>
      <c r="E31" s="36">
        <v>46101</v>
      </c>
      <c r="F31" s="37" t="s">
        <v>491</v>
      </c>
      <c r="G31" s="30" t="s">
        <v>545</v>
      </c>
      <c r="H31" s="199" t="s">
        <v>546</v>
      </c>
      <c r="I31" s="44" t="s">
        <v>547</v>
      </c>
      <c r="J31" s="31" t="s">
        <v>26</v>
      </c>
      <c r="K31" s="146" t="s">
        <v>9</v>
      </c>
      <c r="L31" s="31" t="s">
        <v>548</v>
      </c>
      <c r="M31"/>
    </row>
    <row r="32" spans="2:13" ht="39">
      <c r="B32" s="46">
        <f t="shared" si="0"/>
        <v>23</v>
      </c>
      <c r="C32" s="45" t="s">
        <v>22</v>
      </c>
      <c r="D32" s="38">
        <v>46093</v>
      </c>
      <c r="E32" s="36">
        <v>46097</v>
      </c>
      <c r="F32" s="37" t="s">
        <v>491</v>
      </c>
      <c r="G32" s="30" t="s">
        <v>549</v>
      </c>
      <c r="H32" s="211" t="s">
        <v>550</v>
      </c>
      <c r="I32" s="44" t="s">
        <v>551</v>
      </c>
      <c r="J32" s="31" t="s">
        <v>26</v>
      </c>
      <c r="K32" s="146" t="s">
        <v>9</v>
      </c>
      <c r="L32" s="31" t="s">
        <v>542</v>
      </c>
      <c r="M32"/>
    </row>
    <row r="33" spans="2:13" ht="117">
      <c r="B33" s="46">
        <f t="shared" si="0"/>
        <v>24</v>
      </c>
      <c r="C33" s="45" t="s">
        <v>22</v>
      </c>
      <c r="D33" s="38">
        <v>46093</v>
      </c>
      <c r="E33" s="36">
        <v>46101</v>
      </c>
      <c r="F33" s="37" t="s">
        <v>491</v>
      </c>
      <c r="G33" s="30" t="s">
        <v>552</v>
      </c>
      <c r="H33" s="199" t="s">
        <v>553</v>
      </c>
      <c r="I33" s="44" t="s">
        <v>554</v>
      </c>
      <c r="J33" s="31" t="s">
        <v>26</v>
      </c>
      <c r="K33" s="146" t="s">
        <v>9</v>
      </c>
      <c r="L33" s="31" t="s">
        <v>555</v>
      </c>
      <c r="M33"/>
    </row>
    <row r="34" spans="2:13" ht="312">
      <c r="B34" s="46">
        <f t="shared" si="0"/>
        <v>25</v>
      </c>
      <c r="C34" s="45" t="s">
        <v>22</v>
      </c>
      <c r="D34" s="38">
        <v>46093</v>
      </c>
      <c r="E34" s="36">
        <v>46101</v>
      </c>
      <c r="F34" s="37" t="s">
        <v>491</v>
      </c>
      <c r="G34" s="30" t="s">
        <v>556</v>
      </c>
      <c r="H34" s="199" t="s">
        <v>557</v>
      </c>
      <c r="I34" s="44" t="s">
        <v>558</v>
      </c>
      <c r="J34" s="31" t="s">
        <v>26</v>
      </c>
      <c r="K34" s="146" t="s">
        <v>9</v>
      </c>
      <c r="L34" s="31" t="s">
        <v>559</v>
      </c>
      <c r="M34"/>
    </row>
    <row r="35" spans="2:13" ht="143">
      <c r="B35" s="46">
        <f t="shared" si="0"/>
        <v>26</v>
      </c>
      <c r="C35" s="45" t="s">
        <v>22</v>
      </c>
      <c r="D35" s="38">
        <v>46093</v>
      </c>
      <c r="E35" s="36">
        <v>46101</v>
      </c>
      <c r="F35" s="37" t="s">
        <v>491</v>
      </c>
      <c r="G35" s="30" t="s">
        <v>560</v>
      </c>
      <c r="H35" s="199" t="s">
        <v>561</v>
      </c>
      <c r="I35" s="44" t="s">
        <v>562</v>
      </c>
      <c r="J35" s="31" t="s">
        <v>96</v>
      </c>
      <c r="K35" s="146" t="s">
        <v>9</v>
      </c>
      <c r="L35" s="31" t="s">
        <v>563</v>
      </c>
      <c r="M35"/>
    </row>
    <row r="36" spans="2:13" ht="78">
      <c r="B36" s="46">
        <f t="shared" si="0"/>
        <v>27</v>
      </c>
      <c r="C36" s="45" t="s">
        <v>22</v>
      </c>
      <c r="D36" s="38">
        <v>46093</v>
      </c>
      <c r="E36" s="36">
        <v>46097</v>
      </c>
      <c r="F36" s="37" t="s">
        <v>491</v>
      </c>
      <c r="G36" s="30" t="s">
        <v>564</v>
      </c>
      <c r="H36" s="28"/>
      <c r="I36" s="44" t="s">
        <v>565</v>
      </c>
      <c r="J36" s="31" t="s">
        <v>26</v>
      </c>
      <c r="K36" s="146" t="s">
        <v>9</v>
      </c>
      <c r="L36" s="31" t="s">
        <v>566</v>
      </c>
      <c r="M36"/>
    </row>
    <row r="37" spans="2:13" ht="91">
      <c r="B37" s="46">
        <f t="shared" si="0"/>
        <v>28</v>
      </c>
      <c r="C37" s="45" t="s">
        <v>22</v>
      </c>
      <c r="D37" s="38">
        <v>46093</v>
      </c>
      <c r="E37" s="36">
        <v>46101</v>
      </c>
      <c r="F37" s="37" t="s">
        <v>491</v>
      </c>
      <c r="G37" s="30" t="s">
        <v>567</v>
      </c>
      <c r="H37" s="199" t="s">
        <v>568</v>
      </c>
      <c r="I37" s="44" t="s">
        <v>569</v>
      </c>
      <c r="J37" s="31" t="s">
        <v>26</v>
      </c>
      <c r="K37" s="146" t="s">
        <v>9</v>
      </c>
      <c r="L37" s="31" t="s">
        <v>570</v>
      </c>
      <c r="M37"/>
    </row>
    <row r="38" spans="2:13" ht="52">
      <c r="B38" s="46">
        <f t="shared" si="0"/>
        <v>29</v>
      </c>
      <c r="C38" s="45" t="s">
        <v>22</v>
      </c>
      <c r="D38" s="38">
        <v>46093</v>
      </c>
      <c r="E38" s="36">
        <v>46101</v>
      </c>
      <c r="F38" s="37" t="s">
        <v>491</v>
      </c>
      <c r="G38" s="30" t="s">
        <v>571</v>
      </c>
      <c r="H38" s="28"/>
      <c r="I38" s="44" t="s">
        <v>195</v>
      </c>
      <c r="J38" s="31" t="s">
        <v>96</v>
      </c>
      <c r="K38" s="146" t="s">
        <v>9</v>
      </c>
      <c r="L38" s="31"/>
      <c r="M38"/>
    </row>
    <row r="39" spans="2:13" ht="143">
      <c r="B39" s="46">
        <f t="shared" si="0"/>
        <v>30</v>
      </c>
      <c r="C39" s="45" t="s">
        <v>22</v>
      </c>
      <c r="D39" s="38">
        <v>46093</v>
      </c>
      <c r="E39" s="36">
        <v>46097</v>
      </c>
      <c r="F39" s="37" t="s">
        <v>491</v>
      </c>
      <c r="G39" s="30" t="s">
        <v>572</v>
      </c>
      <c r="H39" s="28"/>
      <c r="I39" s="44" t="s">
        <v>195</v>
      </c>
      <c r="J39" s="31" t="s">
        <v>96</v>
      </c>
      <c r="K39" s="146" t="s">
        <v>9</v>
      </c>
      <c r="L39" s="31"/>
      <c r="M39"/>
    </row>
    <row r="40" spans="2:13" s="212" customFormat="1" ht="32.15" customHeight="1">
      <c r="B40" s="46">
        <f t="shared" si="0"/>
        <v>31</v>
      </c>
      <c r="C40" s="218" t="s">
        <v>22</v>
      </c>
      <c r="D40" s="219">
        <v>46105</v>
      </c>
      <c r="E40" s="214">
        <v>46106</v>
      </c>
      <c r="F40" s="217" t="s">
        <v>491</v>
      </c>
      <c r="G40" s="30" t="s">
        <v>573</v>
      </c>
      <c r="H40" s="211"/>
      <c r="I40" s="44" t="s">
        <v>574</v>
      </c>
      <c r="J40" s="215" t="s">
        <v>96</v>
      </c>
      <c r="K40" s="216" t="s">
        <v>9</v>
      </c>
      <c r="L40" s="39"/>
    </row>
    <row r="41" spans="2:13" s="212" customFormat="1" ht="32.15" customHeight="1">
      <c r="B41" s="46">
        <f t="shared" si="0"/>
        <v>32</v>
      </c>
      <c r="C41" s="218" t="s">
        <v>22</v>
      </c>
      <c r="D41" s="219">
        <v>46105</v>
      </c>
      <c r="E41" s="214">
        <v>46106</v>
      </c>
      <c r="F41" s="217" t="s">
        <v>491</v>
      </c>
      <c r="G41" s="30" t="s">
        <v>575</v>
      </c>
      <c r="H41" s="211"/>
      <c r="I41" s="44" t="s">
        <v>576</v>
      </c>
      <c r="J41" s="215" t="s">
        <v>26</v>
      </c>
      <c r="K41" s="216" t="s">
        <v>9</v>
      </c>
      <c r="L41" s="39" t="s">
        <v>577</v>
      </c>
    </row>
    <row r="42" spans="2:13" ht="26">
      <c r="B42" s="46">
        <f t="shared" si="0"/>
        <v>33</v>
      </c>
      <c r="C42" s="218" t="s">
        <v>22</v>
      </c>
      <c r="D42" s="220">
        <v>46105</v>
      </c>
      <c r="E42" s="214">
        <v>46106</v>
      </c>
      <c r="F42" s="217" t="s">
        <v>491</v>
      </c>
      <c r="G42" s="30" t="s">
        <v>578</v>
      </c>
      <c r="H42" s="211"/>
      <c r="I42" s="44" t="s">
        <v>579</v>
      </c>
      <c r="J42" s="215" t="s">
        <v>26</v>
      </c>
      <c r="K42" s="146" t="s">
        <v>9</v>
      </c>
      <c r="L42" s="31" t="s">
        <v>580</v>
      </c>
    </row>
    <row r="43" spans="2:13" ht="45.65" customHeight="1">
      <c r="B43" s="46">
        <f t="shared" si="0"/>
        <v>34</v>
      </c>
      <c r="C43" s="218" t="s">
        <v>22</v>
      </c>
      <c r="D43" s="220">
        <v>46105</v>
      </c>
      <c r="E43" s="214">
        <v>46106</v>
      </c>
      <c r="F43" s="217" t="s">
        <v>491</v>
      </c>
      <c r="G43" s="30" t="s">
        <v>581</v>
      </c>
      <c r="H43" s="211"/>
      <c r="I43" s="44" t="s">
        <v>582</v>
      </c>
      <c r="J43" s="215" t="s">
        <v>96</v>
      </c>
      <c r="K43" s="146" t="s">
        <v>9</v>
      </c>
      <c r="L43" s="31" t="s">
        <v>583</v>
      </c>
    </row>
    <row r="44" spans="2:13" ht="43" customHeight="1">
      <c r="B44" s="46">
        <f t="shared" si="0"/>
        <v>35</v>
      </c>
      <c r="C44" s="218" t="s">
        <v>22</v>
      </c>
      <c r="D44" s="220">
        <v>46105</v>
      </c>
      <c r="E44" s="213"/>
      <c r="F44" s="217" t="s">
        <v>491</v>
      </c>
      <c r="G44" s="30" t="s">
        <v>584</v>
      </c>
      <c r="H44" s="211"/>
      <c r="I44" s="44" t="s">
        <v>585</v>
      </c>
      <c r="J44" s="215" t="s">
        <v>26</v>
      </c>
      <c r="K44" s="146" t="s">
        <v>8</v>
      </c>
      <c r="L44" s="31"/>
    </row>
  </sheetData>
  <conditionalFormatting sqref="G10:G44 I10:J44 L10:L44">
    <cfRule type="cellIs" dxfId="114" priority="8" operator="equal">
      <formula>"Closed"</formula>
    </cfRule>
    <cfRule type="cellIs" dxfId="113" priority="9" operator="equal">
      <formula>"Partial"</formula>
    </cfRule>
    <cfRule type="cellIs" dxfId="112" priority="10" operator="equal">
      <formula>"Data Room"</formula>
    </cfRule>
    <cfRule type="cellIs" dxfId="111" priority="11" operator="equal">
      <formula>"Partial"</formula>
    </cfRule>
    <cfRule type="cellIs" dxfId="110" priority="12" operator="equal">
      <formula>"In-Process"</formula>
    </cfRule>
    <cfRule type="cellIs" dxfId="109" priority="13" operator="equal">
      <formula>"Defer"</formula>
    </cfRule>
    <cfRule type="cellIs" dxfId="108" priority="14" operator="equal">
      <formula>"Closed"</formula>
    </cfRule>
    <cfRule type="cellIs" dxfId="107" priority="15" operator="equal">
      <formula>"Open"</formula>
    </cfRule>
    <cfRule type="cellIs" dxfId="106" priority="16" operator="equal">
      <formula>"WB In-Process"</formula>
    </cfRule>
  </conditionalFormatting>
  <conditionalFormatting sqref="H10:H44">
    <cfRule type="expression" dxfId="105" priority="4">
      <formula>$B10=$B$6</formula>
    </cfRule>
    <cfRule type="expression" dxfId="104" priority="5">
      <formula>$B10=$B$7</formula>
    </cfRule>
  </conditionalFormatting>
  <conditionalFormatting sqref="I10:J44 G10:G44 L10:L44">
    <cfRule type="expression" dxfId="103" priority="6">
      <formula>G10="High"</formula>
    </cfRule>
    <cfRule type="expression" dxfId="102" priority="7">
      <formula>G10="Very High"</formula>
    </cfRule>
  </conditionalFormatting>
  <conditionalFormatting sqref="J10:J44">
    <cfRule type="cellIs" dxfId="101" priority="1" stopIfTrue="1" operator="equal">
      <formula>"High"</formula>
    </cfRule>
    <cfRule type="cellIs" dxfId="100" priority="2" stopIfTrue="1" operator="equal">
      <formula>"Medium"</formula>
    </cfRule>
    <cfRule type="cellIs" dxfId="99" priority="3" stopIfTrue="1" operator="equal">
      <formula>"Low"</formula>
    </cfRule>
  </conditionalFormatting>
  <conditionalFormatting sqref="K2 I3:K7">
    <cfRule type="cellIs" dxfId="98" priority="53" operator="equal">
      <formula>"scheduled"</formula>
    </cfRule>
    <cfRule type="cellIs" dxfId="97" priority="54" operator="equal">
      <formula>"defer"</formula>
    </cfRule>
    <cfRule type="cellIs" dxfId="96" priority="55" operator="equal">
      <formula>"open"</formula>
    </cfRule>
    <cfRule type="cellIs" dxfId="95" priority="56" operator="equal">
      <formula>"complete"</formula>
    </cfRule>
    <cfRule type="cellIs" dxfId="94" priority="57" operator="equal">
      <formula>"in process"</formula>
    </cfRule>
  </conditionalFormatting>
  <conditionalFormatting sqref="K8:K44">
    <cfRule type="cellIs" dxfId="93" priority="17" operator="equal">
      <formula>"scheduled"</formula>
    </cfRule>
    <cfRule type="cellIs" dxfId="92" priority="18" operator="equal">
      <formula>"defer"</formula>
    </cfRule>
    <cfRule type="cellIs" dxfId="91" priority="19" operator="equal">
      <formula>"open"</formula>
    </cfRule>
    <cfRule type="cellIs" dxfId="90" priority="20" operator="equal">
      <formula>"complete"</formula>
    </cfRule>
    <cfRule type="cellIs" dxfId="89" priority="21" operator="equal">
      <formula>"in process"</formula>
    </cfRule>
  </conditionalFormatting>
  <dataValidations disablePrompts="1" count="2">
    <dataValidation type="list" allowBlank="1" showInputMessage="1" showErrorMessage="1" sqref="K10:K44" xr:uid="{0A00FC3E-6195-4948-A4AC-28BAD899AD4C}">
      <formula1>$I$3:$I$6</formula1>
    </dataValidation>
    <dataValidation type="list" allowBlank="1" showInputMessage="1" showErrorMessage="1" sqref="J10:J44" xr:uid="{378978EA-DCEB-49D8-BD6A-82CC5438C3F4}">
      <formula1>PriorityList</formula1>
    </dataValidation>
  </dataValidations>
  <pageMargins left="0.7" right="0.7" top="0.75" bottom="0.75" header="0.3" footer="0.3"/>
  <pageSetup scale="2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17FE5-D42B-46E8-B5CF-7BB5CD4D63BC}">
  <sheetPr>
    <tabColor theme="4"/>
  </sheetPr>
  <dimension ref="A1"/>
  <sheetViews>
    <sheetView showGridLines="0" zoomScaleNormal="100" workbookViewId="0"/>
  </sheetViews>
  <sheetFormatPr defaultColWidth="8.33203125" defaultRowHeight="12.5"/>
  <cols>
    <col min="1" max="16384" width="8.33203125" style="2"/>
  </cols>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728E-D30F-49E9-87E2-B5CEE4BCF078}">
  <sheetPr codeName="Sheet8">
    <tabColor theme="4" tint="0.79998168889431442"/>
    <pageSetUpPr fitToPage="1"/>
  </sheetPr>
  <dimension ref="B2:L20"/>
  <sheetViews>
    <sheetView showGridLines="0" view="pageBreakPreview" zoomScaleNormal="85" zoomScaleSheetLayoutView="100" workbookViewId="0">
      <pane xSplit="3" ySplit="9" topLeftCell="D10" activePane="bottomRight" state="frozen"/>
      <selection pane="topRight" activeCell="C370" sqref="C370"/>
      <selection pane="bottomLeft" activeCell="C370" sqref="C37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2">
      <c r="B2" s="6" t="s">
        <v>3</v>
      </c>
      <c r="C2" s="34"/>
      <c r="D2" s="34"/>
      <c r="E2" s="7"/>
      <c r="F2" s="34"/>
      <c r="G2" s="8"/>
      <c r="H2" s="7"/>
      <c r="I2" s="9" t="s">
        <v>4</v>
      </c>
      <c r="J2" s="10" t="s">
        <v>5</v>
      </c>
      <c r="K2" s="11" t="s">
        <v>6</v>
      </c>
      <c r="L2" s="12"/>
    </row>
    <row r="3" spans="2:12">
      <c r="B3" s="7"/>
      <c r="C3" s="35"/>
      <c r="D3" s="14"/>
      <c r="E3" s="14"/>
      <c r="F3" s="14"/>
      <c r="G3" s="15"/>
      <c r="H3" s="7"/>
      <c r="I3" s="16" t="s">
        <v>7</v>
      </c>
      <c r="J3" s="17">
        <f>+COUNTIFS(K$8:K$1276,$I3)</f>
        <v>0</v>
      </c>
      <c r="K3" s="18">
        <f>J3/$J$7</f>
        <v>0</v>
      </c>
      <c r="L3" s="14"/>
    </row>
    <row r="4" spans="2:12">
      <c r="B4" s="6"/>
      <c r="C4" s="34"/>
      <c r="D4" s="34"/>
      <c r="E4" s="7"/>
      <c r="F4" s="34"/>
      <c r="G4" s="8"/>
      <c r="H4" s="7"/>
      <c r="I4" s="16" t="s">
        <v>8</v>
      </c>
      <c r="J4" s="17">
        <f>+COUNTIFS(K$8:K$1276,$I4)</f>
        <v>0</v>
      </c>
      <c r="K4" s="18">
        <f>J4/$J$7</f>
        <v>0</v>
      </c>
      <c r="L4" s="12"/>
    </row>
    <row r="5" spans="2:12">
      <c r="B5" s="19"/>
      <c r="C5" s="19"/>
      <c r="D5" s="19"/>
      <c r="E5" s="20"/>
      <c r="F5" s="19"/>
      <c r="G5" s="21"/>
      <c r="H5" s="20"/>
      <c r="I5" s="16" t="s">
        <v>9</v>
      </c>
      <c r="J5" s="17">
        <f>+COUNTIFS(K$8:K$1276,$I5)</f>
        <v>11</v>
      </c>
      <c r="K5" s="18">
        <f>J5/$J$7</f>
        <v>1</v>
      </c>
      <c r="L5" s="22"/>
    </row>
    <row r="6" spans="2:12">
      <c r="B6" s="19"/>
      <c r="C6" s="19"/>
      <c r="D6" s="19"/>
      <c r="E6" s="20"/>
      <c r="F6" s="19"/>
      <c r="G6" s="21"/>
      <c r="H6" s="20"/>
      <c r="I6" s="16" t="s">
        <v>10</v>
      </c>
      <c r="J6" s="17">
        <f>+COUNTIFS(K$8:K$1276,$I6)</f>
        <v>0</v>
      </c>
      <c r="K6" s="18">
        <f>J6/$J$7</f>
        <v>0</v>
      </c>
      <c r="L6" s="22"/>
    </row>
    <row r="7" spans="2:12">
      <c r="B7" s="19"/>
      <c r="C7" s="19"/>
      <c r="D7" s="19"/>
      <c r="E7" s="20"/>
      <c r="F7" s="19"/>
      <c r="G7" s="21"/>
      <c r="H7" s="20"/>
      <c r="I7" s="16" t="s">
        <v>11</v>
      </c>
      <c r="J7" s="23">
        <f>+SUM(J3:J6)</f>
        <v>11</v>
      </c>
      <c r="K7" s="24">
        <f>+SUM(K3:K6)</f>
        <v>1</v>
      </c>
      <c r="L7" s="22"/>
    </row>
    <row r="8" spans="2:12">
      <c r="B8" s="19"/>
      <c r="C8" s="19"/>
      <c r="D8" s="19"/>
      <c r="E8" s="20"/>
      <c r="F8" s="19"/>
      <c r="G8" s="21"/>
      <c r="H8" s="15"/>
      <c r="I8" s="7"/>
      <c r="J8" s="43">
        <f>MAX(B:B)-J7</f>
        <v>0</v>
      </c>
      <c r="K8" s="22"/>
      <c r="L8" s="22"/>
    </row>
    <row r="9" spans="2:12" ht="26">
      <c r="B9" s="25" t="s">
        <v>12</v>
      </c>
      <c r="C9" s="25" t="s">
        <v>13</v>
      </c>
      <c r="D9" s="26" t="s">
        <v>14</v>
      </c>
      <c r="E9" s="26" t="s">
        <v>15</v>
      </c>
      <c r="F9" s="25" t="s">
        <v>16</v>
      </c>
      <c r="G9" s="25" t="s">
        <v>17</v>
      </c>
      <c r="H9" s="26" t="s">
        <v>18</v>
      </c>
      <c r="I9" s="25" t="s">
        <v>19</v>
      </c>
      <c r="J9" s="25" t="s">
        <v>20</v>
      </c>
      <c r="K9" s="25" t="s">
        <v>4</v>
      </c>
      <c r="L9" s="26" t="s">
        <v>21</v>
      </c>
    </row>
    <row r="10" spans="2:12" ht="39">
      <c r="B10" s="46">
        <v>1</v>
      </c>
      <c r="C10" s="45" t="s">
        <v>22</v>
      </c>
      <c r="D10" s="38">
        <v>46092</v>
      </c>
      <c r="E10" s="36">
        <v>46094</v>
      </c>
      <c r="F10" s="37" t="s">
        <v>101</v>
      </c>
      <c r="G10" s="30" t="s">
        <v>586</v>
      </c>
      <c r="H10" s="28" t="s">
        <v>587</v>
      </c>
      <c r="I10" s="44" t="s">
        <v>588</v>
      </c>
      <c r="J10" s="31" t="s">
        <v>26</v>
      </c>
      <c r="K10" s="146" t="s">
        <v>9</v>
      </c>
      <c r="L10" s="31" t="s">
        <v>589</v>
      </c>
    </row>
    <row r="11" spans="2:12" ht="26">
      <c r="B11" s="46">
        <f t="shared" ref="B11:B20" si="0">B10+1</f>
        <v>2</v>
      </c>
      <c r="C11" s="45" t="s">
        <v>22</v>
      </c>
      <c r="D11" s="38">
        <v>46092</v>
      </c>
      <c r="E11" s="36">
        <v>46094</v>
      </c>
      <c r="F11" s="37" t="s">
        <v>39</v>
      </c>
      <c r="G11" s="30" t="s">
        <v>590</v>
      </c>
      <c r="H11" s="28" t="s">
        <v>591</v>
      </c>
      <c r="I11" s="44" t="s">
        <v>592</v>
      </c>
      <c r="J11" s="31" t="s">
        <v>26</v>
      </c>
      <c r="K11" s="146" t="s">
        <v>9</v>
      </c>
      <c r="L11" s="31" t="s">
        <v>593</v>
      </c>
    </row>
    <row r="12" spans="2:12" ht="26">
      <c r="B12" s="46">
        <f t="shared" si="0"/>
        <v>3</v>
      </c>
      <c r="C12" s="45" t="s">
        <v>22</v>
      </c>
      <c r="D12" s="38">
        <v>46092</v>
      </c>
      <c r="E12" s="36">
        <v>46094</v>
      </c>
      <c r="F12" s="37" t="s">
        <v>39</v>
      </c>
      <c r="G12" s="30" t="s">
        <v>594</v>
      </c>
      <c r="H12" s="28" t="s">
        <v>595</v>
      </c>
      <c r="I12" s="44" t="s">
        <v>596</v>
      </c>
      <c r="J12" s="31" t="s">
        <v>26</v>
      </c>
      <c r="K12" s="146" t="s">
        <v>9</v>
      </c>
      <c r="L12" s="31" t="s">
        <v>597</v>
      </c>
    </row>
    <row r="13" spans="2:12" ht="39">
      <c r="B13" s="46">
        <f t="shared" si="0"/>
        <v>4</v>
      </c>
      <c r="C13" s="45" t="s">
        <v>22</v>
      </c>
      <c r="D13" s="38">
        <v>46092</v>
      </c>
      <c r="E13" s="36">
        <v>46100</v>
      </c>
      <c r="F13" s="37" t="s">
        <v>101</v>
      </c>
      <c r="G13" s="30" t="s">
        <v>598</v>
      </c>
      <c r="H13" s="28" t="s">
        <v>599</v>
      </c>
      <c r="I13" s="40" t="s">
        <v>600</v>
      </c>
      <c r="J13" s="31" t="s">
        <v>96</v>
      </c>
      <c r="K13" s="146" t="s">
        <v>9</v>
      </c>
      <c r="L13" s="31"/>
    </row>
    <row r="14" spans="2:12" ht="195">
      <c r="B14" s="46">
        <f t="shared" si="0"/>
        <v>5</v>
      </c>
      <c r="C14" s="45" t="s">
        <v>22</v>
      </c>
      <c r="D14" s="38">
        <v>46092</v>
      </c>
      <c r="E14" s="36">
        <v>46100</v>
      </c>
      <c r="F14" s="37" t="s">
        <v>431</v>
      </c>
      <c r="G14" s="30" t="s">
        <v>601</v>
      </c>
      <c r="H14" s="28" t="s">
        <v>602</v>
      </c>
      <c r="I14" s="201" t="s">
        <v>603</v>
      </c>
      <c r="J14" s="31" t="s">
        <v>26</v>
      </c>
      <c r="K14" s="146" t="s">
        <v>9</v>
      </c>
      <c r="L14" s="31"/>
    </row>
    <row r="15" spans="2:12" ht="52">
      <c r="B15" s="46">
        <f t="shared" si="0"/>
        <v>6</v>
      </c>
      <c r="C15" s="45" t="s">
        <v>22</v>
      </c>
      <c r="D15" s="38">
        <v>46092</v>
      </c>
      <c r="E15" s="36">
        <v>46094</v>
      </c>
      <c r="F15" s="37" t="s">
        <v>431</v>
      </c>
      <c r="G15" s="30" t="s">
        <v>604</v>
      </c>
      <c r="H15" s="28" t="s">
        <v>605</v>
      </c>
      <c r="I15" s="44" t="s">
        <v>606</v>
      </c>
      <c r="J15" s="31" t="s">
        <v>26</v>
      </c>
      <c r="K15" s="146" t="s">
        <v>9</v>
      </c>
      <c r="L15" s="31" t="s">
        <v>607</v>
      </c>
    </row>
    <row r="16" spans="2:12" ht="78">
      <c r="B16" s="46">
        <f t="shared" si="0"/>
        <v>7</v>
      </c>
      <c r="C16" s="45" t="s">
        <v>22</v>
      </c>
      <c r="D16" s="38">
        <v>46092</v>
      </c>
      <c r="E16" s="36">
        <v>46100</v>
      </c>
      <c r="F16" s="37" t="s">
        <v>431</v>
      </c>
      <c r="G16" s="30" t="s">
        <v>608</v>
      </c>
      <c r="H16" s="28" t="s">
        <v>609</v>
      </c>
      <c r="I16" s="40" t="s">
        <v>610</v>
      </c>
      <c r="J16" s="31" t="s">
        <v>96</v>
      </c>
      <c r="K16" s="146" t="s">
        <v>9</v>
      </c>
      <c r="L16" s="31"/>
    </row>
    <row r="17" spans="2:12" ht="52">
      <c r="B17" s="46">
        <f t="shared" si="0"/>
        <v>8</v>
      </c>
      <c r="C17" s="45" t="s">
        <v>22</v>
      </c>
      <c r="D17" s="38">
        <v>46092</v>
      </c>
      <c r="E17" s="36">
        <v>46098</v>
      </c>
      <c r="F17" s="37" t="s">
        <v>431</v>
      </c>
      <c r="G17" s="30" t="s">
        <v>611</v>
      </c>
      <c r="H17" s="28" t="s">
        <v>612</v>
      </c>
      <c r="I17" s="44" t="s">
        <v>613</v>
      </c>
      <c r="J17" s="31" t="s">
        <v>26</v>
      </c>
      <c r="K17" s="146" t="s">
        <v>9</v>
      </c>
      <c r="L17" s="31" t="s">
        <v>614</v>
      </c>
    </row>
    <row r="18" spans="2:12" ht="52">
      <c r="B18" s="46">
        <f t="shared" si="0"/>
        <v>9</v>
      </c>
      <c r="C18" s="45" t="s">
        <v>22</v>
      </c>
      <c r="D18" s="38">
        <v>46092</v>
      </c>
      <c r="E18" s="36">
        <v>46094</v>
      </c>
      <c r="F18" s="37" t="s">
        <v>431</v>
      </c>
      <c r="G18" s="30" t="s">
        <v>615</v>
      </c>
      <c r="H18" s="28" t="s">
        <v>616</v>
      </c>
      <c r="I18" s="44" t="s">
        <v>617</v>
      </c>
      <c r="J18" s="31" t="s">
        <v>96</v>
      </c>
      <c r="K18" s="146" t="s">
        <v>9</v>
      </c>
      <c r="L18" s="31" t="s">
        <v>618</v>
      </c>
    </row>
    <row r="19" spans="2:12" ht="52">
      <c r="B19" s="46">
        <f t="shared" si="0"/>
        <v>10</v>
      </c>
      <c r="C19" s="45" t="s">
        <v>22</v>
      </c>
      <c r="D19" s="38">
        <v>46092</v>
      </c>
      <c r="E19" s="36">
        <v>46098</v>
      </c>
      <c r="F19" s="37" t="s">
        <v>431</v>
      </c>
      <c r="G19" s="30" t="s">
        <v>619</v>
      </c>
      <c r="H19" s="28" t="s">
        <v>620</v>
      </c>
      <c r="I19" s="44" t="s">
        <v>621</v>
      </c>
      <c r="J19" s="31" t="s">
        <v>96</v>
      </c>
      <c r="K19" s="146" t="s">
        <v>9</v>
      </c>
      <c r="L19" s="31" t="s">
        <v>614</v>
      </c>
    </row>
    <row r="20" spans="2:12" ht="78">
      <c r="B20" s="46">
        <f t="shared" si="0"/>
        <v>11</v>
      </c>
      <c r="C20" s="45" t="s">
        <v>22</v>
      </c>
      <c r="D20" s="38">
        <v>46092</v>
      </c>
      <c r="E20" s="36">
        <v>46098</v>
      </c>
      <c r="F20" s="37" t="s">
        <v>431</v>
      </c>
      <c r="G20" s="30" t="s">
        <v>622</v>
      </c>
      <c r="H20" s="28" t="s">
        <v>623</v>
      </c>
      <c r="I20" s="44" t="s">
        <v>624</v>
      </c>
      <c r="J20" s="31" t="s">
        <v>26</v>
      </c>
      <c r="K20" s="146" t="s">
        <v>9</v>
      </c>
      <c r="L20" s="31" t="s">
        <v>614</v>
      </c>
    </row>
  </sheetData>
  <conditionalFormatting sqref="H10:H20">
    <cfRule type="expression" dxfId="88" priority="15">
      <formula>$B10=$B$6</formula>
    </cfRule>
    <cfRule type="expression" dxfId="87" priority="16">
      <formula>$B10=$B$7</formula>
    </cfRule>
  </conditionalFormatting>
  <conditionalFormatting sqref="I19">
    <cfRule type="expression" dxfId="86" priority="1">
      <formula>I19="High"</formula>
    </cfRule>
    <cfRule type="expression" dxfId="85" priority="2">
      <formula>I19="Very High"</formula>
    </cfRule>
    <cfRule type="cellIs" dxfId="84" priority="3" operator="equal">
      <formula>"Closed"</formula>
    </cfRule>
    <cfRule type="cellIs" dxfId="83" priority="4" operator="equal">
      <formula>"Partial"</formula>
    </cfRule>
    <cfRule type="cellIs" dxfId="82" priority="5" operator="equal">
      <formula>"Data Room"</formula>
    </cfRule>
    <cfRule type="cellIs" dxfId="81" priority="6" operator="equal">
      <formula>"Partial"</formula>
    </cfRule>
    <cfRule type="cellIs" dxfId="80" priority="7" operator="equal">
      <formula>"In-Process"</formula>
    </cfRule>
    <cfRule type="cellIs" dxfId="79" priority="8" operator="equal">
      <formula>"Defer"</formula>
    </cfRule>
    <cfRule type="cellIs" dxfId="78" priority="9" operator="equal">
      <formula>"Closed"</formula>
    </cfRule>
    <cfRule type="cellIs" dxfId="77" priority="10" operator="equal">
      <formula>"Open"</formula>
    </cfRule>
    <cfRule type="cellIs" dxfId="76" priority="11" operator="equal">
      <formula>"WB In-Process"</formula>
    </cfRule>
  </conditionalFormatting>
  <conditionalFormatting sqref="I10:J13 G10:G20 L10:L20 J14 I15:J20">
    <cfRule type="cellIs" dxfId="75" priority="19" operator="equal">
      <formula>"Closed"</formula>
    </cfRule>
    <cfRule type="cellIs" dxfId="74" priority="20" operator="equal">
      <formula>"Partial"</formula>
    </cfRule>
    <cfRule type="cellIs" dxfId="73" priority="21" operator="equal">
      <formula>"Data Room"</formula>
    </cfRule>
    <cfRule type="cellIs" dxfId="72" priority="22" operator="equal">
      <formula>"Partial"</formula>
    </cfRule>
    <cfRule type="cellIs" dxfId="71" priority="23" operator="equal">
      <formula>"In-Process"</formula>
    </cfRule>
    <cfRule type="cellIs" dxfId="70" priority="24" operator="equal">
      <formula>"Defer"</formula>
    </cfRule>
    <cfRule type="cellIs" dxfId="69" priority="25" operator="equal">
      <formula>"Closed"</formula>
    </cfRule>
    <cfRule type="cellIs" dxfId="68" priority="26" operator="equal">
      <formula>"Open"</formula>
    </cfRule>
    <cfRule type="cellIs" dxfId="67" priority="27" operator="equal">
      <formula>"WB In-Process"</formula>
    </cfRule>
  </conditionalFormatting>
  <conditionalFormatting sqref="I10:J13 J14 I15:J20 G10:G20 L10:L20">
    <cfRule type="expression" dxfId="66" priority="17">
      <formula>G10="High"</formula>
    </cfRule>
    <cfRule type="expression" dxfId="65" priority="18">
      <formula>G10="Very High"</formula>
    </cfRule>
  </conditionalFormatting>
  <conditionalFormatting sqref="J10:J20">
    <cfRule type="cellIs" dxfId="64" priority="12" stopIfTrue="1" operator="equal">
      <formula>"High"</formula>
    </cfRule>
    <cfRule type="cellIs" dxfId="63" priority="13" stopIfTrue="1" operator="equal">
      <formula>"Medium"</formula>
    </cfRule>
    <cfRule type="cellIs" dxfId="62" priority="14" stopIfTrue="1" operator="equal">
      <formula>"Low"</formula>
    </cfRule>
  </conditionalFormatting>
  <conditionalFormatting sqref="K2 I3:K7 K8:K20">
    <cfRule type="cellIs" dxfId="61" priority="28" operator="equal">
      <formula>"scheduled"</formula>
    </cfRule>
    <cfRule type="cellIs" dxfId="60" priority="29" operator="equal">
      <formula>"defer"</formula>
    </cfRule>
    <cfRule type="cellIs" dxfId="59" priority="30" operator="equal">
      <formula>"open"</formula>
    </cfRule>
    <cfRule type="cellIs" dxfId="58" priority="31" operator="equal">
      <formula>"complete"</formula>
    </cfRule>
    <cfRule type="cellIs" dxfId="57" priority="32" operator="equal">
      <formula>"in process"</formula>
    </cfRule>
  </conditionalFormatting>
  <dataValidations count="2">
    <dataValidation type="list" sqref="J10:J20" xr:uid="{58E979A5-B466-4653-A70C-840933F1DDB2}">
      <formula1>"High,Medium,Low"</formula1>
    </dataValidation>
    <dataValidation type="list" allowBlank="1" showInputMessage="1" showErrorMessage="1" sqref="K10:K20" xr:uid="{67F949FC-5E26-4FE9-B227-4950620F8B5E}">
      <formula1>$I$3:$I$6</formula1>
    </dataValidation>
  </dataValidations>
  <pageMargins left="0.7" right="0.7" top="0.75" bottom="0.75" header="0.3" footer="0.3"/>
  <pageSetup scale="4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6696-8417-4C56-8AD6-93E11A2D586E}">
  <sheetPr codeName="Sheet11">
    <tabColor theme="4" tint="0.79998168889431442"/>
    <pageSetUpPr fitToPage="1"/>
  </sheetPr>
  <dimension ref="B2:L57"/>
  <sheetViews>
    <sheetView showGridLines="0" view="pageBreakPreview" zoomScaleNormal="85" zoomScaleSheetLayoutView="100" workbookViewId="0"/>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16.33203125" style="33"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2">
      <c r="B2" s="6" t="s">
        <v>3</v>
      </c>
      <c r="C2" s="34"/>
      <c r="D2" s="34"/>
      <c r="E2" s="7"/>
      <c r="F2" s="34"/>
      <c r="G2" s="8"/>
      <c r="H2" s="7"/>
      <c r="I2" s="9" t="s">
        <v>4</v>
      </c>
      <c r="J2" s="10" t="s">
        <v>5</v>
      </c>
      <c r="K2" s="11" t="s">
        <v>6</v>
      </c>
      <c r="L2" s="12"/>
    </row>
    <row r="3" spans="2:12">
      <c r="B3" s="7"/>
      <c r="C3" s="35"/>
      <c r="D3" s="14"/>
      <c r="E3" s="14"/>
      <c r="F3" s="14"/>
      <c r="G3" s="15"/>
      <c r="H3" s="7"/>
      <c r="I3" s="16" t="s">
        <v>7</v>
      </c>
      <c r="J3" s="17">
        <f>+COUNTIFS(K$8:K$1218,$I3)</f>
        <v>4</v>
      </c>
      <c r="K3" s="18">
        <f>J3/$J$7</f>
        <v>8.3333333333333329E-2</v>
      </c>
      <c r="L3" s="14"/>
    </row>
    <row r="4" spans="2:12">
      <c r="B4" s="6"/>
      <c r="C4" s="34"/>
      <c r="D4" s="34"/>
      <c r="E4" s="7"/>
      <c r="F4" s="34"/>
      <c r="G4" s="8"/>
      <c r="H4" s="7"/>
      <c r="I4" s="16" t="s">
        <v>8</v>
      </c>
      <c r="J4" s="17">
        <f>+COUNTIFS(K$8:K$1218,$I4)</f>
        <v>1</v>
      </c>
      <c r="K4" s="18">
        <f>J4/$J$7</f>
        <v>2.0833333333333332E-2</v>
      </c>
      <c r="L4" s="12"/>
    </row>
    <row r="5" spans="2:12">
      <c r="B5" s="19"/>
      <c r="C5" s="19"/>
      <c r="D5" s="19"/>
      <c r="E5" s="20"/>
      <c r="F5" s="19"/>
      <c r="G5" s="21"/>
      <c r="H5" s="20"/>
      <c r="I5" s="16" t="s">
        <v>9</v>
      </c>
      <c r="J5" s="17">
        <f>+COUNTIFS(K$8:K$1218,$I5)</f>
        <v>43</v>
      </c>
      <c r="K5" s="18">
        <f>J5/$J$7</f>
        <v>0.89583333333333337</v>
      </c>
      <c r="L5" s="22"/>
    </row>
    <row r="6" spans="2:12">
      <c r="B6" s="19"/>
      <c r="C6" s="19"/>
      <c r="D6" s="19"/>
      <c r="E6" s="20"/>
      <c r="F6" s="19"/>
      <c r="G6" s="21"/>
      <c r="H6" s="20"/>
      <c r="I6" s="16" t="s">
        <v>10</v>
      </c>
      <c r="J6" s="17">
        <f>+COUNTIFS(K$8:K$1218,$I6)</f>
        <v>0</v>
      </c>
      <c r="K6" s="18">
        <f>J6/$J$7</f>
        <v>0</v>
      </c>
      <c r="L6" s="22"/>
    </row>
    <row r="7" spans="2:12">
      <c r="B7" s="19"/>
      <c r="C7" s="19"/>
      <c r="D7" s="19"/>
      <c r="E7" s="20"/>
      <c r="F7" s="19"/>
      <c r="G7" s="21"/>
      <c r="H7" s="20"/>
      <c r="I7" s="16" t="s">
        <v>11</v>
      </c>
      <c r="J7" s="23">
        <f>+SUM(J3:J6)</f>
        <v>48</v>
      </c>
      <c r="K7" s="24">
        <f>+SUM(K3:K6)</f>
        <v>1</v>
      </c>
      <c r="L7" s="22"/>
    </row>
    <row r="8" spans="2:12">
      <c r="B8" s="19"/>
      <c r="C8" s="19"/>
      <c r="D8" s="19"/>
      <c r="E8" s="20"/>
      <c r="F8" s="19"/>
      <c r="G8" s="21"/>
      <c r="H8" s="15"/>
      <c r="I8" s="7"/>
      <c r="J8" s="43">
        <f>MAX(B:B)-J7</f>
        <v>0</v>
      </c>
      <c r="K8" s="22"/>
      <c r="L8" s="22"/>
    </row>
    <row r="9" spans="2:12" ht="26">
      <c r="B9" s="25" t="s">
        <v>12</v>
      </c>
      <c r="C9" s="25" t="s">
        <v>13</v>
      </c>
      <c r="D9" s="26" t="s">
        <v>14</v>
      </c>
      <c r="E9" s="26" t="s">
        <v>15</v>
      </c>
      <c r="F9" s="25" t="s">
        <v>16</v>
      </c>
      <c r="G9" s="25" t="s">
        <v>17</v>
      </c>
      <c r="H9" s="26" t="s">
        <v>18</v>
      </c>
      <c r="I9" s="25" t="s">
        <v>19</v>
      </c>
      <c r="J9" s="25" t="s">
        <v>20</v>
      </c>
      <c r="K9" s="25" t="s">
        <v>4</v>
      </c>
      <c r="L9" s="26" t="s">
        <v>21</v>
      </c>
    </row>
    <row r="10" spans="2:12" ht="143">
      <c r="B10" s="46">
        <v>1</v>
      </c>
      <c r="C10" s="45" t="s">
        <v>22</v>
      </c>
      <c r="D10" s="38">
        <v>46093</v>
      </c>
      <c r="E10" s="36">
        <v>46097</v>
      </c>
      <c r="F10" s="37" t="s">
        <v>625</v>
      </c>
      <c r="G10" s="30" t="s">
        <v>626</v>
      </c>
      <c r="H10" s="28" t="s">
        <v>627</v>
      </c>
      <c r="I10" s="44" t="s">
        <v>628</v>
      </c>
      <c r="J10" s="31" t="s">
        <v>205</v>
      </c>
      <c r="K10" s="146" t="s">
        <v>9</v>
      </c>
      <c r="L10" s="31" t="s">
        <v>629</v>
      </c>
    </row>
    <row r="11" spans="2:12" ht="91">
      <c r="B11" s="46">
        <f>B10+1</f>
        <v>2</v>
      </c>
      <c r="C11" s="45" t="s">
        <v>22</v>
      </c>
      <c r="D11" s="38">
        <v>46093</v>
      </c>
      <c r="E11" s="36">
        <v>46098</v>
      </c>
      <c r="F11" s="37" t="s">
        <v>625</v>
      </c>
      <c r="G11" s="30" t="s">
        <v>630</v>
      </c>
      <c r="H11" s="28" t="s">
        <v>631</v>
      </c>
      <c r="I11" s="44" t="s">
        <v>632</v>
      </c>
      <c r="J11" s="31" t="s">
        <v>26</v>
      </c>
      <c r="K11" s="146" t="s">
        <v>9</v>
      </c>
      <c r="L11" s="31" t="s">
        <v>633</v>
      </c>
    </row>
    <row r="12" spans="2:12" ht="156">
      <c r="B12" s="46">
        <f>B11+1</f>
        <v>3</v>
      </c>
      <c r="C12" s="45" t="s">
        <v>22</v>
      </c>
      <c r="D12" s="38">
        <v>46097</v>
      </c>
      <c r="E12" s="36">
        <v>46098</v>
      </c>
      <c r="F12" s="37" t="s">
        <v>625</v>
      </c>
      <c r="G12" s="30" t="s">
        <v>634</v>
      </c>
      <c r="H12" s="28"/>
      <c r="I12" s="44" t="s">
        <v>635</v>
      </c>
      <c r="J12" s="31" t="s">
        <v>205</v>
      </c>
      <c r="K12" s="146" t="s">
        <v>9</v>
      </c>
      <c r="L12" s="31"/>
    </row>
    <row r="13" spans="2:12" ht="52">
      <c r="B13" s="46">
        <f t="shared" ref="B13:B50" si="0">B12+1</f>
        <v>4</v>
      </c>
      <c r="C13" s="45" t="s">
        <v>22</v>
      </c>
      <c r="D13" s="38">
        <v>46093</v>
      </c>
      <c r="E13" s="36">
        <v>46097</v>
      </c>
      <c r="F13" s="37" t="s">
        <v>625</v>
      </c>
      <c r="G13" s="30" t="s">
        <v>636</v>
      </c>
      <c r="H13" s="28"/>
      <c r="I13" s="44" t="s">
        <v>637</v>
      </c>
      <c r="J13" s="31" t="s">
        <v>26</v>
      </c>
      <c r="K13" s="146" t="s">
        <v>9</v>
      </c>
      <c r="L13" s="31" t="s">
        <v>638</v>
      </c>
    </row>
    <row r="14" spans="2:12" ht="117">
      <c r="B14" s="46">
        <f t="shared" si="0"/>
        <v>5</v>
      </c>
      <c r="C14" s="45" t="s">
        <v>22</v>
      </c>
      <c r="D14" s="38">
        <v>46093</v>
      </c>
      <c r="E14" s="36">
        <v>46097</v>
      </c>
      <c r="F14" s="37" t="s">
        <v>639</v>
      </c>
      <c r="G14" s="30" t="s">
        <v>640</v>
      </c>
      <c r="H14" s="28" t="s">
        <v>641</v>
      </c>
      <c r="I14" s="44" t="s">
        <v>642</v>
      </c>
      <c r="J14" s="31" t="s">
        <v>26</v>
      </c>
      <c r="K14" s="146" t="s">
        <v>9</v>
      </c>
      <c r="L14" s="31" t="s">
        <v>643</v>
      </c>
    </row>
    <row r="15" spans="2:12" ht="65">
      <c r="B15" s="46">
        <f t="shared" si="0"/>
        <v>6</v>
      </c>
      <c r="C15" s="45" t="s">
        <v>22</v>
      </c>
      <c r="D15" s="38">
        <v>46093</v>
      </c>
      <c r="E15" s="36">
        <v>46097</v>
      </c>
      <c r="F15" s="37" t="s">
        <v>625</v>
      </c>
      <c r="G15" s="30" t="s">
        <v>644</v>
      </c>
      <c r="H15" s="28" t="s">
        <v>645</v>
      </c>
      <c r="I15" s="44" t="s">
        <v>1509</v>
      </c>
      <c r="J15" s="31" t="s">
        <v>26</v>
      </c>
      <c r="K15" s="146" t="s">
        <v>9</v>
      </c>
      <c r="L15" s="31" t="s">
        <v>646</v>
      </c>
    </row>
    <row r="16" spans="2:12" ht="65">
      <c r="B16" s="46">
        <f t="shared" si="0"/>
        <v>7</v>
      </c>
      <c r="C16" s="45" t="s">
        <v>22</v>
      </c>
      <c r="D16" s="38">
        <v>46093</v>
      </c>
      <c r="E16" s="36">
        <v>46097</v>
      </c>
      <c r="F16" s="37" t="s">
        <v>647</v>
      </c>
      <c r="G16" s="30" t="s">
        <v>648</v>
      </c>
      <c r="H16" s="28"/>
      <c r="I16" s="44" t="s">
        <v>649</v>
      </c>
      <c r="J16" s="31" t="s">
        <v>205</v>
      </c>
      <c r="K16" s="146" t="s">
        <v>9</v>
      </c>
      <c r="L16" s="31"/>
    </row>
    <row r="17" spans="2:12" ht="39">
      <c r="B17" s="46">
        <f t="shared" si="0"/>
        <v>8</v>
      </c>
      <c r="C17" s="45" t="s">
        <v>22</v>
      </c>
      <c r="D17" s="38">
        <v>46093</v>
      </c>
      <c r="E17" s="36">
        <v>46097</v>
      </c>
      <c r="F17" s="37" t="s">
        <v>647</v>
      </c>
      <c r="G17" s="30" t="s">
        <v>650</v>
      </c>
      <c r="H17" s="28"/>
      <c r="I17" s="44" t="s">
        <v>651</v>
      </c>
      <c r="J17" s="31" t="s">
        <v>26</v>
      </c>
      <c r="K17" s="146" t="s">
        <v>9</v>
      </c>
      <c r="L17" s="31" t="s">
        <v>652</v>
      </c>
    </row>
    <row r="18" spans="2:12" ht="39">
      <c r="B18" s="46">
        <f t="shared" si="0"/>
        <v>9</v>
      </c>
      <c r="C18" s="45" t="s">
        <v>22</v>
      </c>
      <c r="D18" s="38">
        <v>46093</v>
      </c>
      <c r="E18" s="36">
        <v>46098</v>
      </c>
      <c r="F18" s="37" t="s">
        <v>647</v>
      </c>
      <c r="G18" s="30" t="s">
        <v>653</v>
      </c>
      <c r="H18" s="28"/>
      <c r="I18" s="44" t="s">
        <v>654</v>
      </c>
      <c r="J18" s="31" t="s">
        <v>205</v>
      </c>
      <c r="K18" s="146" t="s">
        <v>9</v>
      </c>
      <c r="L18" s="31"/>
    </row>
    <row r="19" spans="2:12" ht="26">
      <c r="B19" s="46">
        <f t="shared" si="0"/>
        <v>10</v>
      </c>
      <c r="C19" s="45" t="s">
        <v>22</v>
      </c>
      <c r="D19" s="38">
        <v>46093</v>
      </c>
      <c r="E19" s="36">
        <v>46098</v>
      </c>
      <c r="F19" s="37" t="s">
        <v>647</v>
      </c>
      <c r="G19" s="30" t="s">
        <v>655</v>
      </c>
      <c r="H19" s="28" t="s">
        <v>656</v>
      </c>
      <c r="I19" s="44" t="s">
        <v>657</v>
      </c>
      <c r="J19" s="31" t="s">
        <v>205</v>
      </c>
      <c r="K19" s="146" t="s">
        <v>9</v>
      </c>
      <c r="L19" s="31" t="s">
        <v>158</v>
      </c>
    </row>
    <row r="20" spans="2:12" ht="143">
      <c r="B20" s="46">
        <f t="shared" si="0"/>
        <v>11</v>
      </c>
      <c r="C20" s="45" t="s">
        <v>22</v>
      </c>
      <c r="D20" s="38">
        <v>46093</v>
      </c>
      <c r="E20" s="36">
        <v>46101</v>
      </c>
      <c r="F20" s="37" t="s">
        <v>658</v>
      </c>
      <c r="G20" s="30" t="s">
        <v>659</v>
      </c>
      <c r="H20" s="28"/>
      <c r="I20" s="44" t="s">
        <v>660</v>
      </c>
      <c r="J20" s="31" t="s">
        <v>205</v>
      </c>
      <c r="K20" s="146" t="s">
        <v>9</v>
      </c>
      <c r="L20" s="31" t="s">
        <v>661</v>
      </c>
    </row>
    <row r="21" spans="2:12" ht="52">
      <c r="B21" s="46">
        <f t="shared" si="0"/>
        <v>12</v>
      </c>
      <c r="C21" s="45" t="s">
        <v>22</v>
      </c>
      <c r="D21" s="38">
        <v>46093</v>
      </c>
      <c r="E21" s="36">
        <v>46101</v>
      </c>
      <c r="F21" s="37" t="s">
        <v>658</v>
      </c>
      <c r="G21" s="30" t="s">
        <v>662</v>
      </c>
      <c r="H21" s="28"/>
      <c r="I21" s="44" t="s">
        <v>663</v>
      </c>
      <c r="J21" s="31" t="s">
        <v>96</v>
      </c>
      <c r="K21" s="146" t="s">
        <v>9</v>
      </c>
      <c r="L21" s="31"/>
    </row>
    <row r="22" spans="2:12" ht="195">
      <c r="B22" s="46">
        <f t="shared" si="0"/>
        <v>13</v>
      </c>
      <c r="C22" s="45" t="s">
        <v>22</v>
      </c>
      <c r="D22" s="38">
        <v>46093</v>
      </c>
      <c r="E22" s="36">
        <v>46097</v>
      </c>
      <c r="F22" s="37" t="s">
        <v>658</v>
      </c>
      <c r="G22" s="30" t="s">
        <v>664</v>
      </c>
      <c r="H22" s="28" t="s">
        <v>665</v>
      </c>
      <c r="I22" s="44" t="s">
        <v>628</v>
      </c>
      <c r="J22" s="31" t="s">
        <v>205</v>
      </c>
      <c r="K22" s="146" t="s">
        <v>9</v>
      </c>
      <c r="L22" s="31" t="s">
        <v>629</v>
      </c>
    </row>
    <row r="23" spans="2:12" ht="169">
      <c r="B23" s="46">
        <f t="shared" si="0"/>
        <v>14</v>
      </c>
      <c r="C23" s="45" t="s">
        <v>22</v>
      </c>
      <c r="D23" s="38">
        <v>46093</v>
      </c>
      <c r="E23" s="36">
        <v>46097</v>
      </c>
      <c r="F23" s="37" t="s">
        <v>658</v>
      </c>
      <c r="G23" s="30" t="s">
        <v>666</v>
      </c>
      <c r="H23" s="28" t="s">
        <v>667</v>
      </c>
      <c r="I23" s="44" t="s">
        <v>668</v>
      </c>
      <c r="J23" s="31" t="s">
        <v>96</v>
      </c>
      <c r="K23" s="146" t="s">
        <v>9</v>
      </c>
      <c r="L23" s="31" t="s">
        <v>669</v>
      </c>
    </row>
    <row r="24" spans="2:12" ht="39">
      <c r="B24" s="46">
        <f t="shared" si="0"/>
        <v>15</v>
      </c>
      <c r="C24" s="45" t="s">
        <v>22</v>
      </c>
      <c r="D24" s="38">
        <v>46093</v>
      </c>
      <c r="E24" s="36">
        <v>46106</v>
      </c>
      <c r="F24" s="37" t="s">
        <v>658</v>
      </c>
      <c r="G24" s="30" t="s">
        <v>670</v>
      </c>
      <c r="H24" s="28"/>
      <c r="I24" s="44" t="s">
        <v>671</v>
      </c>
      <c r="J24" s="31" t="s">
        <v>205</v>
      </c>
      <c r="K24" s="146" t="s">
        <v>9</v>
      </c>
      <c r="L24" s="31" t="s">
        <v>672</v>
      </c>
    </row>
    <row r="25" spans="2:12" ht="104">
      <c r="B25" s="46">
        <f t="shared" si="0"/>
        <v>16</v>
      </c>
      <c r="C25" s="45" t="s">
        <v>22</v>
      </c>
      <c r="D25" s="38">
        <v>46093</v>
      </c>
      <c r="E25" s="36">
        <v>46106</v>
      </c>
      <c r="F25" s="37" t="s">
        <v>673</v>
      </c>
      <c r="G25" s="30" t="s">
        <v>674</v>
      </c>
      <c r="H25" s="28"/>
      <c r="I25" s="44" t="s">
        <v>675</v>
      </c>
      <c r="J25" s="31" t="s">
        <v>26</v>
      </c>
      <c r="K25" s="146" t="s">
        <v>9</v>
      </c>
      <c r="L25" s="31"/>
    </row>
    <row r="26" spans="2:12" ht="390">
      <c r="B26" s="46">
        <f t="shared" si="0"/>
        <v>17</v>
      </c>
      <c r="C26" s="45" t="s">
        <v>22</v>
      </c>
      <c r="D26" s="38">
        <v>46093</v>
      </c>
      <c r="E26" s="36">
        <v>46098</v>
      </c>
      <c r="F26" s="37" t="s">
        <v>676</v>
      </c>
      <c r="G26" s="30" t="s">
        <v>677</v>
      </c>
      <c r="H26" s="28"/>
      <c r="I26" s="44" t="s">
        <v>678</v>
      </c>
      <c r="J26" s="31" t="s">
        <v>205</v>
      </c>
      <c r="K26" s="146" t="s">
        <v>9</v>
      </c>
      <c r="L26" s="31"/>
    </row>
    <row r="27" spans="2:12" ht="65">
      <c r="B27" s="46">
        <f t="shared" si="0"/>
        <v>18</v>
      </c>
      <c r="C27" s="45" t="s">
        <v>22</v>
      </c>
      <c r="D27" s="38">
        <v>46093</v>
      </c>
      <c r="E27" s="36">
        <v>46100</v>
      </c>
      <c r="F27" s="37" t="s">
        <v>676</v>
      </c>
      <c r="G27" s="30" t="s">
        <v>679</v>
      </c>
      <c r="H27" s="28"/>
      <c r="I27" s="44" t="s">
        <v>680</v>
      </c>
      <c r="J27" s="31" t="s">
        <v>205</v>
      </c>
      <c r="K27" s="146" t="s">
        <v>9</v>
      </c>
      <c r="L27" s="31"/>
    </row>
    <row r="28" spans="2:12" ht="78">
      <c r="B28" s="46">
        <f t="shared" si="0"/>
        <v>19</v>
      </c>
      <c r="C28" s="45" t="s">
        <v>22</v>
      </c>
      <c r="D28" s="38">
        <v>46093</v>
      </c>
      <c r="E28" s="36">
        <v>46097</v>
      </c>
      <c r="F28" s="37" t="s">
        <v>681</v>
      </c>
      <c r="G28" s="30" t="s">
        <v>682</v>
      </c>
      <c r="H28" s="28"/>
      <c r="I28" s="44" t="s">
        <v>683</v>
      </c>
      <c r="J28" s="31" t="s">
        <v>205</v>
      </c>
      <c r="K28" s="146" t="s">
        <v>9</v>
      </c>
      <c r="L28" s="31" t="s">
        <v>443</v>
      </c>
    </row>
    <row r="29" spans="2:12" ht="91">
      <c r="B29" s="46">
        <f t="shared" si="0"/>
        <v>20</v>
      </c>
      <c r="C29" s="45" t="s">
        <v>22</v>
      </c>
      <c r="D29" s="38">
        <v>46093</v>
      </c>
      <c r="E29" s="36">
        <v>46097</v>
      </c>
      <c r="F29" s="37" t="s">
        <v>681</v>
      </c>
      <c r="G29" s="30" t="s">
        <v>684</v>
      </c>
      <c r="H29" s="28"/>
      <c r="I29" s="44" t="s">
        <v>685</v>
      </c>
      <c r="J29" s="31" t="s">
        <v>205</v>
      </c>
      <c r="K29" s="146" t="s">
        <v>9</v>
      </c>
      <c r="L29" s="31" t="s">
        <v>158</v>
      </c>
    </row>
    <row r="30" spans="2:12" ht="26">
      <c r="B30" s="46">
        <f t="shared" si="0"/>
        <v>21</v>
      </c>
      <c r="C30" s="45" t="s">
        <v>22</v>
      </c>
      <c r="D30" s="38">
        <v>46093</v>
      </c>
      <c r="E30" s="36">
        <v>46097</v>
      </c>
      <c r="F30" s="37" t="s">
        <v>681</v>
      </c>
      <c r="G30" s="30" t="s">
        <v>686</v>
      </c>
      <c r="H30" s="28"/>
      <c r="I30" s="44" t="s">
        <v>687</v>
      </c>
      <c r="J30" s="31" t="s">
        <v>205</v>
      </c>
      <c r="K30" s="146" t="s">
        <v>9</v>
      </c>
      <c r="L30" s="31"/>
    </row>
    <row r="31" spans="2:12" ht="52">
      <c r="B31" s="46">
        <f t="shared" si="0"/>
        <v>22</v>
      </c>
      <c r="C31" s="45" t="s">
        <v>22</v>
      </c>
      <c r="D31" s="38">
        <v>46093</v>
      </c>
      <c r="E31" s="36">
        <v>46097</v>
      </c>
      <c r="F31" s="37" t="s">
        <v>681</v>
      </c>
      <c r="G31" s="30" t="s">
        <v>688</v>
      </c>
      <c r="H31" s="28" t="s">
        <v>689</v>
      </c>
      <c r="I31" s="44" t="s">
        <v>628</v>
      </c>
      <c r="J31" s="31" t="s">
        <v>26</v>
      </c>
      <c r="K31" s="146" t="s">
        <v>9</v>
      </c>
      <c r="L31" s="31" t="s">
        <v>629</v>
      </c>
    </row>
    <row r="32" spans="2:12" ht="91">
      <c r="B32" s="46">
        <f t="shared" si="0"/>
        <v>23</v>
      </c>
      <c r="C32" s="45" t="s">
        <v>22</v>
      </c>
      <c r="D32" s="38">
        <v>46093</v>
      </c>
      <c r="E32" s="36">
        <v>46097</v>
      </c>
      <c r="F32" s="37" t="s">
        <v>681</v>
      </c>
      <c r="G32" s="30" t="s">
        <v>690</v>
      </c>
      <c r="H32" s="28" t="s">
        <v>691</v>
      </c>
      <c r="I32" s="44" t="s">
        <v>692</v>
      </c>
      <c r="J32" s="31" t="s">
        <v>205</v>
      </c>
      <c r="K32" s="146" t="s">
        <v>9</v>
      </c>
      <c r="L32" s="31" t="s">
        <v>693</v>
      </c>
    </row>
    <row r="33" spans="2:12" ht="208">
      <c r="B33" s="46">
        <f t="shared" si="0"/>
        <v>24</v>
      </c>
      <c r="C33" s="45" t="s">
        <v>22</v>
      </c>
      <c r="D33" s="38">
        <v>46093</v>
      </c>
      <c r="E33" s="36">
        <v>46097</v>
      </c>
      <c r="F33" s="37" t="s">
        <v>39</v>
      </c>
      <c r="G33" s="30" t="s">
        <v>694</v>
      </c>
      <c r="H33" s="28" t="s">
        <v>695</v>
      </c>
      <c r="I33" s="44" t="s">
        <v>696</v>
      </c>
      <c r="J33" s="31" t="s">
        <v>205</v>
      </c>
      <c r="K33" s="146" t="s">
        <v>8</v>
      </c>
      <c r="L33" s="31" t="s">
        <v>158</v>
      </c>
    </row>
    <row r="34" spans="2:12" ht="52">
      <c r="B34" s="46">
        <f t="shared" si="0"/>
        <v>25</v>
      </c>
      <c r="C34" s="45" t="s">
        <v>22</v>
      </c>
      <c r="D34" s="38">
        <v>46093</v>
      </c>
      <c r="E34" s="36">
        <v>46097</v>
      </c>
      <c r="F34" s="37" t="s">
        <v>39</v>
      </c>
      <c r="G34" s="30" t="s">
        <v>697</v>
      </c>
      <c r="H34" s="28"/>
      <c r="I34" s="44" t="s">
        <v>698</v>
      </c>
      <c r="J34" s="31" t="s">
        <v>26</v>
      </c>
      <c r="K34" s="146" t="s">
        <v>9</v>
      </c>
      <c r="L34" s="31" t="s">
        <v>158</v>
      </c>
    </row>
    <row r="35" spans="2:12" ht="221">
      <c r="B35" s="46">
        <f t="shared" si="0"/>
        <v>26</v>
      </c>
      <c r="C35" s="45" t="s">
        <v>22</v>
      </c>
      <c r="D35" s="38">
        <v>46093</v>
      </c>
      <c r="E35" s="36">
        <v>46097</v>
      </c>
      <c r="F35" s="37" t="s">
        <v>39</v>
      </c>
      <c r="G35" s="30" t="s">
        <v>699</v>
      </c>
      <c r="H35" s="28" t="s">
        <v>700</v>
      </c>
      <c r="I35" s="44"/>
      <c r="J35" s="31" t="s">
        <v>205</v>
      </c>
      <c r="K35" s="146" t="s">
        <v>9</v>
      </c>
      <c r="L35" s="31"/>
    </row>
    <row r="36" spans="2:12" ht="78">
      <c r="B36" s="46">
        <f t="shared" si="0"/>
        <v>27</v>
      </c>
      <c r="C36" s="45" t="s">
        <v>22</v>
      </c>
      <c r="D36" s="38">
        <v>46093</v>
      </c>
      <c r="E36" s="36">
        <v>46097</v>
      </c>
      <c r="F36" s="37" t="s">
        <v>39</v>
      </c>
      <c r="G36" s="30" t="s">
        <v>701</v>
      </c>
      <c r="H36" s="28"/>
      <c r="I36" s="44" t="s">
        <v>702</v>
      </c>
      <c r="J36" s="31" t="s">
        <v>96</v>
      </c>
      <c r="K36" s="146" t="s">
        <v>9</v>
      </c>
      <c r="L36" s="31" t="s">
        <v>703</v>
      </c>
    </row>
    <row r="37" spans="2:12" ht="147" customHeight="1">
      <c r="B37" s="46">
        <f t="shared" si="0"/>
        <v>28</v>
      </c>
      <c r="C37" s="45" t="s">
        <v>22</v>
      </c>
      <c r="D37" s="38">
        <v>46093</v>
      </c>
      <c r="E37" s="36">
        <v>46100</v>
      </c>
      <c r="F37" s="37" t="s">
        <v>39</v>
      </c>
      <c r="G37" s="30" t="s">
        <v>704</v>
      </c>
      <c r="H37" s="28" t="s">
        <v>705</v>
      </c>
      <c r="I37" s="44" t="s">
        <v>702</v>
      </c>
      <c r="J37" s="31" t="s">
        <v>205</v>
      </c>
      <c r="K37" s="146" t="s">
        <v>9</v>
      </c>
      <c r="L37" s="31" t="s">
        <v>703</v>
      </c>
    </row>
    <row r="38" spans="2:12" ht="52">
      <c r="B38" s="46">
        <f t="shared" si="0"/>
        <v>29</v>
      </c>
      <c r="C38" s="45" t="s">
        <v>22</v>
      </c>
      <c r="D38" s="38">
        <v>46093</v>
      </c>
      <c r="E38" s="36">
        <v>46097</v>
      </c>
      <c r="F38" s="37" t="s">
        <v>39</v>
      </c>
      <c r="G38" s="30" t="s">
        <v>706</v>
      </c>
      <c r="H38" s="28"/>
      <c r="I38" s="44" t="s">
        <v>707</v>
      </c>
      <c r="J38" s="31" t="s">
        <v>26</v>
      </c>
      <c r="K38" s="146" t="s">
        <v>9</v>
      </c>
      <c r="L38" s="31" t="s">
        <v>32</v>
      </c>
    </row>
    <row r="39" spans="2:12" ht="52">
      <c r="B39" s="46">
        <f t="shared" si="0"/>
        <v>30</v>
      </c>
      <c r="C39" s="45" t="s">
        <v>22</v>
      </c>
      <c r="D39" s="38">
        <v>46093</v>
      </c>
      <c r="E39" s="36">
        <v>46097</v>
      </c>
      <c r="F39" s="37" t="s">
        <v>708</v>
      </c>
      <c r="G39" s="30" t="s">
        <v>709</v>
      </c>
      <c r="H39" s="28"/>
      <c r="I39" s="44" t="s">
        <v>698</v>
      </c>
      <c r="J39" s="31" t="s">
        <v>205</v>
      </c>
      <c r="K39" s="146" t="s">
        <v>9</v>
      </c>
      <c r="L39" s="31" t="s">
        <v>158</v>
      </c>
    </row>
    <row r="40" spans="2:12" ht="26">
      <c r="B40" s="46">
        <f t="shared" si="0"/>
        <v>31</v>
      </c>
      <c r="C40" s="45" t="s">
        <v>22</v>
      </c>
      <c r="D40" s="38">
        <v>46093</v>
      </c>
      <c r="E40" s="36">
        <v>46101</v>
      </c>
      <c r="F40" s="37" t="s">
        <v>708</v>
      </c>
      <c r="G40" s="30" t="s">
        <v>710</v>
      </c>
      <c r="H40" s="28" t="s">
        <v>711</v>
      </c>
      <c r="I40" s="44" t="s">
        <v>712</v>
      </c>
      <c r="J40" s="31" t="s">
        <v>26</v>
      </c>
      <c r="K40" s="146" t="s">
        <v>9</v>
      </c>
      <c r="L40" s="31" t="s">
        <v>713</v>
      </c>
    </row>
    <row r="41" spans="2:12" ht="91">
      <c r="B41" s="46">
        <f t="shared" si="0"/>
        <v>32</v>
      </c>
      <c r="C41" s="45" t="s">
        <v>22</v>
      </c>
      <c r="D41" s="38">
        <v>46093</v>
      </c>
      <c r="E41" s="36">
        <v>46101</v>
      </c>
      <c r="F41" s="37" t="s">
        <v>708</v>
      </c>
      <c r="G41" s="30" t="s">
        <v>714</v>
      </c>
      <c r="H41" s="28"/>
      <c r="I41" s="44" t="s">
        <v>712</v>
      </c>
      <c r="J41" s="31" t="s">
        <v>205</v>
      </c>
      <c r="K41" s="146" t="s">
        <v>9</v>
      </c>
      <c r="L41" s="31" t="s">
        <v>713</v>
      </c>
    </row>
    <row r="42" spans="2:12" ht="117">
      <c r="B42" s="46">
        <f t="shared" si="0"/>
        <v>33</v>
      </c>
      <c r="C42" s="45" t="s">
        <v>22</v>
      </c>
      <c r="D42" s="38">
        <v>46099</v>
      </c>
      <c r="E42" s="36">
        <v>46107</v>
      </c>
      <c r="F42" s="37" t="s">
        <v>715</v>
      </c>
      <c r="G42" s="30" t="s">
        <v>716</v>
      </c>
      <c r="H42" s="28"/>
      <c r="I42" s="44" t="s">
        <v>1371</v>
      </c>
      <c r="J42" s="31" t="s">
        <v>205</v>
      </c>
      <c r="K42" s="146" t="s">
        <v>9</v>
      </c>
      <c r="L42" s="31" t="s">
        <v>646</v>
      </c>
    </row>
    <row r="43" spans="2:12" ht="117">
      <c r="B43" s="46">
        <f t="shared" si="0"/>
        <v>34</v>
      </c>
      <c r="C43" s="45" t="s">
        <v>22</v>
      </c>
      <c r="D43" s="38">
        <v>46099</v>
      </c>
      <c r="E43" s="36">
        <v>46106</v>
      </c>
      <c r="F43" s="37" t="s">
        <v>715</v>
      </c>
      <c r="G43" s="30" t="s">
        <v>717</v>
      </c>
      <c r="H43" s="28"/>
      <c r="I43" s="44" t="s">
        <v>718</v>
      </c>
      <c r="J43" s="31" t="s">
        <v>26</v>
      </c>
      <c r="K43" s="146" t="s">
        <v>9</v>
      </c>
      <c r="L43" s="31" t="s">
        <v>719</v>
      </c>
    </row>
    <row r="44" spans="2:12" ht="39">
      <c r="B44" s="46">
        <f t="shared" si="0"/>
        <v>35</v>
      </c>
      <c r="C44" s="45" t="s">
        <v>22</v>
      </c>
      <c r="D44" s="38">
        <v>46099</v>
      </c>
      <c r="E44" s="36">
        <v>46107</v>
      </c>
      <c r="F44" s="37" t="s">
        <v>715</v>
      </c>
      <c r="G44" s="30" t="s">
        <v>720</v>
      </c>
      <c r="H44" s="28"/>
      <c r="I44" s="44" t="s">
        <v>721</v>
      </c>
      <c r="J44" s="31" t="s">
        <v>26</v>
      </c>
      <c r="K44" s="146" t="s">
        <v>9</v>
      </c>
      <c r="L44" s="31" t="s">
        <v>722</v>
      </c>
    </row>
    <row r="45" spans="2:12" ht="39">
      <c r="B45" s="46">
        <f t="shared" si="0"/>
        <v>36</v>
      </c>
      <c r="C45" s="45" t="s">
        <v>22</v>
      </c>
      <c r="D45" s="38">
        <v>46099</v>
      </c>
      <c r="E45" s="36">
        <v>46107</v>
      </c>
      <c r="F45" s="37" t="s">
        <v>723</v>
      </c>
      <c r="G45" s="30" t="s">
        <v>724</v>
      </c>
      <c r="H45" s="28"/>
      <c r="I45" s="44" t="s">
        <v>725</v>
      </c>
      <c r="J45" s="31" t="s">
        <v>205</v>
      </c>
      <c r="K45" s="146" t="s">
        <v>9</v>
      </c>
      <c r="L45" s="31" t="s">
        <v>726</v>
      </c>
    </row>
    <row r="46" spans="2:12" ht="39">
      <c r="B46" s="46">
        <f t="shared" si="0"/>
        <v>37</v>
      </c>
      <c r="C46" s="45" t="s">
        <v>22</v>
      </c>
      <c r="D46" s="38">
        <v>46099</v>
      </c>
      <c r="E46" s="36">
        <v>46107</v>
      </c>
      <c r="F46" s="37" t="s">
        <v>723</v>
      </c>
      <c r="G46" s="30" t="s">
        <v>727</v>
      </c>
      <c r="H46" s="28"/>
      <c r="I46" s="44" t="s">
        <v>1371</v>
      </c>
      <c r="J46" s="31" t="s">
        <v>205</v>
      </c>
      <c r="K46" s="146" t="s">
        <v>9</v>
      </c>
      <c r="L46" s="31" t="s">
        <v>1505</v>
      </c>
    </row>
    <row r="47" spans="2:12" ht="26">
      <c r="B47" s="46">
        <f t="shared" si="0"/>
        <v>38</v>
      </c>
      <c r="C47" s="45" t="s">
        <v>22</v>
      </c>
      <c r="D47" s="38">
        <v>46099</v>
      </c>
      <c r="E47" s="36">
        <v>46107</v>
      </c>
      <c r="F47" s="37" t="s">
        <v>728</v>
      </c>
      <c r="G47" s="30" t="s">
        <v>729</v>
      </c>
      <c r="H47" s="28"/>
      <c r="I47" s="44" t="s">
        <v>730</v>
      </c>
      <c r="J47" s="31" t="s">
        <v>205</v>
      </c>
      <c r="K47" s="146" t="s">
        <v>9</v>
      </c>
      <c r="L47" s="31" t="s">
        <v>731</v>
      </c>
    </row>
    <row r="48" spans="2:12" ht="52">
      <c r="B48" s="46">
        <f t="shared" si="0"/>
        <v>39</v>
      </c>
      <c r="C48" s="45" t="s">
        <v>22</v>
      </c>
      <c r="D48" s="38">
        <v>46099</v>
      </c>
      <c r="E48" s="36">
        <v>46101</v>
      </c>
      <c r="F48" s="37" t="s">
        <v>732</v>
      </c>
      <c r="G48" s="30" t="s">
        <v>733</v>
      </c>
      <c r="H48" s="28"/>
      <c r="I48" s="44" t="s">
        <v>734</v>
      </c>
      <c r="J48" s="31" t="s">
        <v>26</v>
      </c>
      <c r="K48" s="146" t="s">
        <v>9</v>
      </c>
      <c r="L48" s="31" t="s">
        <v>735</v>
      </c>
    </row>
    <row r="49" spans="2:12" ht="78">
      <c r="B49" s="46">
        <f t="shared" si="0"/>
        <v>40</v>
      </c>
      <c r="C49" s="45" t="s">
        <v>22</v>
      </c>
      <c r="D49" s="38">
        <v>46099</v>
      </c>
      <c r="E49" s="45"/>
      <c r="F49" s="37" t="s">
        <v>676</v>
      </c>
      <c r="G49" s="30" t="s">
        <v>736</v>
      </c>
      <c r="H49" s="28"/>
      <c r="I49" s="44"/>
      <c r="J49" s="31" t="s">
        <v>205</v>
      </c>
      <c r="K49" s="146" t="s">
        <v>7</v>
      </c>
      <c r="L49" s="31"/>
    </row>
    <row r="50" spans="2:12" ht="78">
      <c r="B50" s="46">
        <f t="shared" si="0"/>
        <v>41</v>
      </c>
      <c r="C50" s="45" t="s">
        <v>22</v>
      </c>
      <c r="D50" s="38">
        <v>46104</v>
      </c>
      <c r="E50" s="36">
        <v>46106</v>
      </c>
      <c r="F50" s="37" t="s">
        <v>737</v>
      </c>
      <c r="G50" s="30" t="s">
        <v>738</v>
      </c>
      <c r="H50" s="28"/>
      <c r="I50" s="44" t="s">
        <v>718</v>
      </c>
      <c r="J50" s="31" t="s">
        <v>205</v>
      </c>
      <c r="K50" s="146" t="s">
        <v>9</v>
      </c>
      <c r="L50" s="31" t="s">
        <v>719</v>
      </c>
    </row>
    <row r="51" spans="2:12" ht="52">
      <c r="B51" s="46">
        <f>B50+1</f>
        <v>42</v>
      </c>
      <c r="C51" s="45" t="s">
        <v>22</v>
      </c>
      <c r="D51" s="38">
        <v>46104</v>
      </c>
      <c r="E51" s="36">
        <v>46107</v>
      </c>
      <c r="F51" s="37" t="s">
        <v>737</v>
      </c>
      <c r="G51" s="30" t="s">
        <v>739</v>
      </c>
      <c r="H51" s="28"/>
      <c r="I51" s="44" t="s">
        <v>740</v>
      </c>
      <c r="J51" s="31" t="s">
        <v>205</v>
      </c>
      <c r="K51" s="146" t="s">
        <v>9</v>
      </c>
      <c r="L51" s="31"/>
    </row>
    <row r="52" spans="2:12" ht="78">
      <c r="B52" s="46">
        <f t="shared" ref="B52:B56" si="1">B51+1</f>
        <v>43</v>
      </c>
      <c r="C52" s="45" t="s">
        <v>22</v>
      </c>
      <c r="D52" s="38">
        <v>46104</v>
      </c>
      <c r="E52" s="36">
        <v>46107</v>
      </c>
      <c r="F52" s="37" t="s">
        <v>741</v>
      </c>
      <c r="G52" s="30" t="s">
        <v>742</v>
      </c>
      <c r="H52" s="28"/>
      <c r="I52" s="44" t="s">
        <v>743</v>
      </c>
      <c r="J52" s="31" t="s">
        <v>205</v>
      </c>
      <c r="K52" s="146" t="s">
        <v>9</v>
      </c>
      <c r="L52" s="31" t="s">
        <v>744</v>
      </c>
    </row>
    <row r="53" spans="2:12" ht="39">
      <c r="B53" s="46">
        <f t="shared" si="1"/>
        <v>44</v>
      </c>
      <c r="C53" s="45" t="s">
        <v>22</v>
      </c>
      <c r="D53" s="38">
        <v>46104</v>
      </c>
      <c r="E53" s="45"/>
      <c r="F53" s="37" t="s">
        <v>745</v>
      </c>
      <c r="G53" s="30" t="s">
        <v>746</v>
      </c>
      <c r="H53" s="28"/>
      <c r="I53" s="44"/>
      <c r="J53" s="31" t="s">
        <v>205</v>
      </c>
      <c r="K53" s="146" t="s">
        <v>7</v>
      </c>
      <c r="L53" s="31"/>
    </row>
    <row r="54" spans="2:12" ht="39">
      <c r="B54" s="46">
        <f t="shared" si="1"/>
        <v>45</v>
      </c>
      <c r="C54" s="45" t="s">
        <v>22</v>
      </c>
      <c r="D54" s="38">
        <v>46104</v>
      </c>
      <c r="E54" s="45"/>
      <c r="F54" s="37" t="s">
        <v>747</v>
      </c>
      <c r="G54" s="30" t="s">
        <v>748</v>
      </c>
      <c r="H54" s="28"/>
      <c r="I54" s="44"/>
      <c r="J54" s="31" t="s">
        <v>205</v>
      </c>
      <c r="K54" s="146" t="s">
        <v>7</v>
      </c>
      <c r="L54" s="31"/>
    </row>
    <row r="55" spans="2:12" ht="39">
      <c r="B55" s="46">
        <f t="shared" si="1"/>
        <v>46</v>
      </c>
      <c r="C55" s="45" t="s">
        <v>22</v>
      </c>
      <c r="D55" s="38">
        <v>46104</v>
      </c>
      <c r="E55" s="36">
        <v>46107</v>
      </c>
      <c r="F55" s="37" t="s">
        <v>737</v>
      </c>
      <c r="G55" s="30" t="s">
        <v>749</v>
      </c>
      <c r="H55" s="28"/>
      <c r="I55" s="44" t="s">
        <v>750</v>
      </c>
      <c r="J55" s="31" t="s">
        <v>205</v>
      </c>
      <c r="K55" s="146" t="s">
        <v>9</v>
      </c>
      <c r="L55" s="31"/>
    </row>
    <row r="56" spans="2:12">
      <c r="B56" s="46">
        <f t="shared" si="1"/>
        <v>47</v>
      </c>
      <c r="C56" s="45" t="s">
        <v>22</v>
      </c>
      <c r="D56" s="38">
        <v>46104</v>
      </c>
      <c r="E56" s="36">
        <v>46107</v>
      </c>
      <c r="F56" s="37" t="s">
        <v>728</v>
      </c>
      <c r="G56" s="30" t="s">
        <v>751</v>
      </c>
      <c r="H56" s="28"/>
      <c r="I56" s="44" t="s">
        <v>743</v>
      </c>
      <c r="J56" s="31" t="s">
        <v>205</v>
      </c>
      <c r="K56" s="146" t="s">
        <v>9</v>
      </c>
      <c r="L56" s="31" t="s">
        <v>744</v>
      </c>
    </row>
    <row r="57" spans="2:12" s="296" customFormat="1" ht="26">
      <c r="B57" s="299">
        <v>48</v>
      </c>
      <c r="C57" s="45" t="s">
        <v>22</v>
      </c>
      <c r="D57" s="38">
        <v>46108</v>
      </c>
      <c r="E57" s="36"/>
      <c r="F57" s="37" t="s">
        <v>1506</v>
      </c>
      <c r="G57" s="297" t="s">
        <v>1507</v>
      </c>
      <c r="H57" s="28"/>
      <c r="I57" s="44"/>
      <c r="J57" s="31" t="s">
        <v>205</v>
      </c>
      <c r="K57" s="146" t="s">
        <v>7</v>
      </c>
      <c r="L57" s="31"/>
    </row>
  </sheetData>
  <autoFilter ref="B9:L41" xr:uid="{80466696-8417-4C56-8AD6-93E11A2D586E}"/>
  <conditionalFormatting sqref="G10:G57 I10:J57 L10:L57">
    <cfRule type="cellIs" dxfId="56" priority="6" operator="equal">
      <formula>"Closed"</formula>
    </cfRule>
    <cfRule type="cellIs" dxfId="55" priority="7" operator="equal">
      <formula>"Partial"</formula>
    </cfRule>
    <cfRule type="cellIs" dxfId="54" priority="8" operator="equal">
      <formula>"Data Room"</formula>
    </cfRule>
    <cfRule type="cellIs" dxfId="53" priority="9" operator="equal">
      <formula>"Partial"</formula>
    </cfRule>
    <cfRule type="cellIs" dxfId="52" priority="10" operator="equal">
      <formula>"In-Process"</formula>
    </cfRule>
    <cfRule type="cellIs" dxfId="51" priority="11" operator="equal">
      <formula>"Defer"</formula>
    </cfRule>
    <cfRule type="cellIs" dxfId="50" priority="12" operator="equal">
      <formula>"Closed"</formula>
    </cfRule>
    <cfRule type="cellIs" dxfId="49" priority="13" operator="equal">
      <formula>"Open"</formula>
    </cfRule>
    <cfRule type="cellIs" dxfId="48" priority="14" operator="equal">
      <formula>"WB In-Process"</formula>
    </cfRule>
  </conditionalFormatting>
  <conditionalFormatting sqref="I10:J57 G10:G57 L10:L57">
    <cfRule type="expression" dxfId="47" priority="4">
      <formula>G10="High"</formula>
    </cfRule>
    <cfRule type="expression" dxfId="46" priority="5">
      <formula>G10="Very High"</formula>
    </cfRule>
  </conditionalFormatting>
  <conditionalFormatting sqref="J10:J57">
    <cfRule type="cellIs" dxfId="45" priority="1" stopIfTrue="1" operator="equal">
      <formula>"High"</formula>
    </cfRule>
    <cfRule type="cellIs" dxfId="44" priority="2" stopIfTrue="1" operator="equal">
      <formula>"Medium"</formula>
    </cfRule>
    <cfRule type="cellIs" dxfId="43" priority="3" stopIfTrue="1" operator="equal">
      <formula>"Low"</formula>
    </cfRule>
  </conditionalFormatting>
  <conditionalFormatting sqref="K2 I3:K7">
    <cfRule type="cellIs" dxfId="42" priority="100" operator="equal">
      <formula>"scheduled"</formula>
    </cfRule>
    <cfRule type="cellIs" dxfId="41" priority="101" operator="equal">
      <formula>"defer"</formula>
    </cfRule>
    <cfRule type="cellIs" dxfId="40" priority="102" operator="equal">
      <formula>"open"</formula>
    </cfRule>
    <cfRule type="cellIs" dxfId="39" priority="103" operator="equal">
      <formula>"complete"</formula>
    </cfRule>
    <cfRule type="cellIs" dxfId="38" priority="104" operator="equal">
      <formula>"in process"</formula>
    </cfRule>
  </conditionalFormatting>
  <conditionalFormatting sqref="K8:K57">
    <cfRule type="cellIs" dxfId="37" priority="15" operator="equal">
      <formula>"scheduled"</formula>
    </cfRule>
    <cfRule type="cellIs" dxfId="36" priority="16" operator="equal">
      <formula>"defer"</formula>
    </cfRule>
    <cfRule type="cellIs" dxfId="35" priority="17" operator="equal">
      <formula>"open"</formula>
    </cfRule>
    <cfRule type="cellIs" dxfId="34" priority="18" operator="equal">
      <formula>"complete"</formula>
    </cfRule>
    <cfRule type="cellIs" dxfId="33" priority="19" operator="equal">
      <formula>"in process"</formula>
    </cfRule>
  </conditionalFormatting>
  <dataValidations count="3">
    <dataValidation type="list" allowBlank="1" showInputMessage="1" showErrorMessage="1" sqref="K50:K52 K10:K48 K55:K56" xr:uid="{E82A334A-86EA-4018-BC2C-9794E4A11E89}">
      <formula1>$I$3:$I$6</formula1>
    </dataValidation>
    <dataValidation type="list" allowBlank="1" showInputMessage="1" showErrorMessage="1" sqref="J10:J56" xr:uid="{5C426242-99EA-4D04-9C08-85A5372E30DC}">
      <formula1>"Medium, High, Critical"</formula1>
    </dataValidation>
    <dataValidation type="list" allowBlank="1" showInputMessage="1" showErrorMessage="1" sqref="K49 K53:K54" xr:uid="{F7F67F62-C2DB-4B9A-80FC-D1E8EFF24FA9}">
      <formula1>"Open, Partial, Closed"</formula1>
    </dataValidation>
  </dataValidations>
  <pageMargins left="0.7" right="0.7" top="0.75" bottom="0.75" header="0.3" footer="0.3"/>
  <pageSetup scale="1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53B0-A918-40E2-AC3F-F08748EACA34}">
  <sheetPr codeName="Sheet12">
    <tabColor theme="4" tint="0.79998168889431442"/>
    <pageSetUpPr fitToPage="1"/>
  </sheetPr>
  <dimension ref="A2:L217"/>
  <sheetViews>
    <sheetView showGridLines="0" view="pageBreakPreview" zoomScaleNormal="70" zoomScaleSheetLayoutView="100" workbookViewId="0">
      <pane xSplit="3" ySplit="9" topLeftCell="D10" activePane="bottomRight" state="frozen"/>
      <selection pane="topRight" activeCell="C370" sqref="C370"/>
      <selection pane="bottomLeft" activeCell="C370" sqref="C370"/>
      <selection pane="bottomRight"/>
    </sheetView>
  </sheetViews>
  <sheetFormatPr defaultColWidth="8.58203125" defaultRowHeight="13" outlineLevelCol="1"/>
  <cols>
    <col min="1" max="1" width="2.58203125" style="13" customWidth="1"/>
    <col min="2" max="2" width="3.75" style="13" bestFit="1" customWidth="1"/>
    <col min="3" max="3" width="9.08203125" style="33" bestFit="1" customWidth="1"/>
    <col min="4" max="4" width="10.25" style="33" bestFit="1" customWidth="1"/>
    <col min="5" max="5" width="8.58203125" style="13" customWidth="1"/>
    <col min="6" max="6" width="9.58203125" style="33" bestFit="1" customWidth="1"/>
    <col min="7" max="7" width="53" style="13" customWidth="1"/>
    <col min="8" max="8" width="31.83203125" style="13" customWidth="1" outlineLevel="1"/>
    <col min="9" max="9" width="46" style="13" customWidth="1"/>
    <col min="10" max="10" width="9.08203125" style="13" customWidth="1"/>
    <col min="11" max="11" width="9.25" style="13" bestFit="1" customWidth="1"/>
    <col min="12" max="12" width="12" style="13" bestFit="1" customWidth="1"/>
    <col min="13" max="16384" width="8.58203125" style="13"/>
  </cols>
  <sheetData>
    <row r="2" spans="2:12">
      <c r="B2" s="6" t="s">
        <v>3</v>
      </c>
      <c r="C2" s="34"/>
      <c r="D2" s="34"/>
      <c r="E2" s="7"/>
      <c r="F2" s="34"/>
      <c r="G2" s="8"/>
      <c r="H2" s="7"/>
      <c r="I2" s="9" t="s">
        <v>4</v>
      </c>
      <c r="J2" s="10" t="s">
        <v>5</v>
      </c>
      <c r="K2" s="11" t="s">
        <v>6</v>
      </c>
      <c r="L2" s="12"/>
    </row>
    <row r="3" spans="2:12">
      <c r="B3" s="7"/>
      <c r="C3" s="35"/>
      <c r="D3" s="14"/>
      <c r="E3" s="14"/>
      <c r="F3" s="14"/>
      <c r="G3" s="15"/>
      <c r="H3" s="7"/>
      <c r="I3" s="16" t="s">
        <v>7</v>
      </c>
      <c r="J3" s="17">
        <f>+COUNTIFS(K$8:K$1166,$I3)</f>
        <v>51</v>
      </c>
      <c r="K3" s="18">
        <f>J3/$J$7</f>
        <v>0.24519230769230768</v>
      </c>
      <c r="L3" s="14"/>
    </row>
    <row r="4" spans="2:12">
      <c r="B4" s="6"/>
      <c r="C4" s="34"/>
      <c r="D4" s="34"/>
      <c r="E4" s="7"/>
      <c r="F4" s="34"/>
      <c r="G4" s="8"/>
      <c r="H4" s="7"/>
      <c r="I4" s="16" t="s">
        <v>8</v>
      </c>
      <c r="J4" s="17">
        <f>+COUNTIFS(K$8:K$1166,$I4)</f>
        <v>7</v>
      </c>
      <c r="K4" s="18">
        <f>J4/$J$7</f>
        <v>3.3653846153846152E-2</v>
      </c>
      <c r="L4" s="12"/>
    </row>
    <row r="5" spans="2:12">
      <c r="B5" s="19"/>
      <c r="C5" s="19"/>
      <c r="D5" s="19"/>
      <c r="E5" s="20"/>
      <c r="F5" s="19"/>
      <c r="G5" s="21"/>
      <c r="H5" s="20"/>
      <c r="I5" s="16" t="s">
        <v>9</v>
      </c>
      <c r="J5" s="17">
        <f>+COUNTIFS(K$8:K$1166,$I5)</f>
        <v>150</v>
      </c>
      <c r="K5" s="18">
        <f>J5/$J$7</f>
        <v>0.72115384615384615</v>
      </c>
      <c r="L5" s="22"/>
    </row>
    <row r="6" spans="2:12">
      <c r="B6" s="19"/>
      <c r="C6" s="19"/>
      <c r="D6" s="19"/>
      <c r="E6" s="20"/>
      <c r="F6" s="19"/>
      <c r="G6" s="21"/>
      <c r="H6" s="20"/>
      <c r="I6" s="16" t="s">
        <v>10</v>
      </c>
      <c r="J6" s="17">
        <f>+COUNTIFS(K$8:K$1166,$I6)</f>
        <v>0</v>
      </c>
      <c r="K6" s="18">
        <f>J6/$J$7</f>
        <v>0</v>
      </c>
      <c r="L6" s="22"/>
    </row>
    <row r="7" spans="2:12">
      <c r="B7" s="19"/>
      <c r="C7" s="19"/>
      <c r="D7" s="19"/>
      <c r="E7" s="20"/>
      <c r="F7" s="19"/>
      <c r="G7" s="21"/>
      <c r="H7" s="20"/>
      <c r="I7" s="16" t="s">
        <v>11</v>
      </c>
      <c r="J7" s="23">
        <f>+SUM(J3:J6)</f>
        <v>208</v>
      </c>
      <c r="K7" s="24">
        <f>+SUM(K3:K6)</f>
        <v>1</v>
      </c>
      <c r="L7" s="22"/>
    </row>
    <row r="8" spans="2:12">
      <c r="B8" s="19"/>
      <c r="C8" s="19"/>
      <c r="D8" s="19"/>
      <c r="E8" s="20"/>
      <c r="F8" s="19"/>
      <c r="G8" s="21"/>
      <c r="H8" s="15"/>
      <c r="I8" s="7"/>
      <c r="J8" s="43">
        <f>MAX(B:B)-J7</f>
        <v>0</v>
      </c>
      <c r="K8" s="22"/>
      <c r="L8" s="22"/>
    </row>
    <row r="9" spans="2:12" ht="26">
      <c r="B9" s="25" t="s">
        <v>12</v>
      </c>
      <c r="C9" s="25" t="s">
        <v>13</v>
      </c>
      <c r="D9" s="26" t="s">
        <v>14</v>
      </c>
      <c r="E9" s="26" t="s">
        <v>15</v>
      </c>
      <c r="F9" s="25" t="s">
        <v>16</v>
      </c>
      <c r="G9" s="25" t="s">
        <v>17</v>
      </c>
      <c r="H9" s="26" t="s">
        <v>18</v>
      </c>
      <c r="I9" s="25" t="s">
        <v>19</v>
      </c>
      <c r="J9" s="25" t="s">
        <v>20</v>
      </c>
      <c r="K9" s="25" t="s">
        <v>4</v>
      </c>
      <c r="L9" s="26" t="s">
        <v>21</v>
      </c>
    </row>
    <row r="10" spans="2:12" ht="39">
      <c r="B10" s="46">
        <v>1</v>
      </c>
      <c r="C10" s="45" t="s">
        <v>22</v>
      </c>
      <c r="D10" s="38">
        <v>46093</v>
      </c>
      <c r="E10" s="36">
        <v>46097</v>
      </c>
      <c r="F10" s="37" t="s">
        <v>147</v>
      </c>
      <c r="G10" s="30" t="s">
        <v>752</v>
      </c>
      <c r="H10" s="28"/>
      <c r="I10" s="44" t="s">
        <v>753</v>
      </c>
      <c r="J10" s="31" t="s">
        <v>96</v>
      </c>
      <c r="K10" s="146" t="s">
        <v>9</v>
      </c>
      <c r="L10" s="31" t="s">
        <v>754</v>
      </c>
    </row>
    <row r="11" spans="2:12" ht="26">
      <c r="B11" s="46">
        <f>B10+1</f>
        <v>2</v>
      </c>
      <c r="C11" s="45" t="s">
        <v>22</v>
      </c>
      <c r="D11" s="38">
        <v>46093</v>
      </c>
      <c r="E11" s="36">
        <v>46097</v>
      </c>
      <c r="F11" s="37" t="s">
        <v>147</v>
      </c>
      <c r="G11" s="30" t="s">
        <v>755</v>
      </c>
      <c r="H11" s="28"/>
      <c r="I11" s="44" t="s">
        <v>756</v>
      </c>
      <c r="J11" s="31" t="s">
        <v>100</v>
      </c>
      <c r="K11" s="146" t="s">
        <v>9</v>
      </c>
      <c r="L11" s="31" t="s">
        <v>256</v>
      </c>
    </row>
    <row r="12" spans="2:12" ht="52">
      <c r="B12" s="46">
        <f t="shared" ref="B12:B75" si="0">B11+1</f>
        <v>3</v>
      </c>
      <c r="C12" s="45" t="s">
        <v>22</v>
      </c>
      <c r="D12" s="38">
        <v>46093</v>
      </c>
      <c r="E12" s="36">
        <v>46097</v>
      </c>
      <c r="F12" s="37" t="s">
        <v>147</v>
      </c>
      <c r="G12" s="30" t="s">
        <v>757</v>
      </c>
      <c r="H12" s="28"/>
      <c r="I12" s="44" t="s">
        <v>758</v>
      </c>
      <c r="J12" s="31" t="s">
        <v>100</v>
      </c>
      <c r="K12" s="146" t="s">
        <v>9</v>
      </c>
      <c r="L12" s="31" t="s">
        <v>759</v>
      </c>
    </row>
    <row r="13" spans="2:12" ht="52">
      <c r="B13" s="46">
        <f t="shared" si="0"/>
        <v>4</v>
      </c>
      <c r="C13" s="45" t="s">
        <v>22</v>
      </c>
      <c r="D13" s="38">
        <v>46093</v>
      </c>
      <c r="E13" s="36">
        <v>46097</v>
      </c>
      <c r="F13" s="37" t="s">
        <v>147</v>
      </c>
      <c r="G13" s="30" t="s">
        <v>760</v>
      </c>
      <c r="H13" s="28"/>
      <c r="I13" s="44" t="s">
        <v>761</v>
      </c>
      <c r="J13" s="31" t="s">
        <v>100</v>
      </c>
      <c r="K13" s="146" t="s">
        <v>9</v>
      </c>
      <c r="L13" s="31" t="s">
        <v>762</v>
      </c>
    </row>
    <row r="14" spans="2:12" ht="26">
      <c r="B14" s="46">
        <f t="shared" si="0"/>
        <v>5</v>
      </c>
      <c r="C14" s="45" t="s">
        <v>22</v>
      </c>
      <c r="D14" s="38">
        <v>46093</v>
      </c>
      <c r="E14" s="36">
        <v>46097</v>
      </c>
      <c r="F14" s="37" t="s">
        <v>147</v>
      </c>
      <c r="G14" s="30" t="s">
        <v>763</v>
      </c>
      <c r="H14" s="28"/>
      <c r="I14" s="44" t="s">
        <v>764</v>
      </c>
      <c r="J14" s="31" t="s">
        <v>26</v>
      </c>
      <c r="K14" s="146" t="s">
        <v>9</v>
      </c>
      <c r="L14" s="31" t="s">
        <v>765</v>
      </c>
    </row>
    <row r="15" spans="2:12">
      <c r="B15" s="46">
        <f t="shared" si="0"/>
        <v>6</v>
      </c>
      <c r="C15" s="45" t="s">
        <v>22</v>
      </c>
      <c r="D15" s="38">
        <v>46093</v>
      </c>
      <c r="E15" s="36">
        <v>46097</v>
      </c>
      <c r="F15" s="37" t="s">
        <v>147</v>
      </c>
      <c r="G15" s="30" t="s">
        <v>766</v>
      </c>
      <c r="H15" s="28"/>
      <c r="I15" s="44" t="s">
        <v>767</v>
      </c>
      <c r="J15" s="31" t="s">
        <v>96</v>
      </c>
      <c r="K15" s="146" t="s">
        <v>9</v>
      </c>
      <c r="L15" s="31" t="s">
        <v>768</v>
      </c>
    </row>
    <row r="16" spans="2:12" ht="52">
      <c r="B16" s="46">
        <f t="shared" si="0"/>
        <v>7</v>
      </c>
      <c r="C16" s="45" t="s">
        <v>22</v>
      </c>
      <c r="D16" s="38">
        <v>46093</v>
      </c>
      <c r="E16" s="36">
        <v>46097</v>
      </c>
      <c r="F16" s="37" t="s">
        <v>147</v>
      </c>
      <c r="G16" s="30" t="s">
        <v>769</v>
      </c>
      <c r="H16" s="28"/>
      <c r="I16" s="44" t="s">
        <v>770</v>
      </c>
      <c r="J16" s="31" t="s">
        <v>26</v>
      </c>
      <c r="K16" s="146" t="s">
        <v>9</v>
      </c>
      <c r="L16" s="31" t="s">
        <v>771</v>
      </c>
    </row>
    <row r="17" spans="2:12" ht="65">
      <c r="B17" s="46">
        <f t="shared" si="0"/>
        <v>8</v>
      </c>
      <c r="C17" s="45" t="s">
        <v>22</v>
      </c>
      <c r="D17" s="38">
        <v>46093</v>
      </c>
      <c r="E17" s="36">
        <v>46097</v>
      </c>
      <c r="F17" s="37" t="s">
        <v>147</v>
      </c>
      <c r="G17" s="30" t="s">
        <v>772</v>
      </c>
      <c r="H17" s="28"/>
      <c r="I17" s="44" t="s">
        <v>756</v>
      </c>
      <c r="J17" s="31" t="s">
        <v>26</v>
      </c>
      <c r="K17" s="146" t="s">
        <v>9</v>
      </c>
      <c r="L17" s="31" t="s">
        <v>256</v>
      </c>
    </row>
    <row r="18" spans="2:12" ht="39">
      <c r="B18" s="46">
        <f t="shared" si="0"/>
        <v>9</v>
      </c>
      <c r="C18" s="45" t="s">
        <v>22</v>
      </c>
      <c r="D18" s="38">
        <v>46093</v>
      </c>
      <c r="E18" s="36">
        <v>46097</v>
      </c>
      <c r="F18" s="37" t="s">
        <v>147</v>
      </c>
      <c r="G18" s="30" t="s">
        <v>773</v>
      </c>
      <c r="H18" s="28"/>
      <c r="I18" s="44" t="s">
        <v>756</v>
      </c>
      <c r="J18" s="31" t="s">
        <v>26</v>
      </c>
      <c r="K18" s="146" t="s">
        <v>9</v>
      </c>
      <c r="L18" s="31" t="s">
        <v>256</v>
      </c>
    </row>
    <row r="19" spans="2:12" ht="91">
      <c r="B19" s="46">
        <f t="shared" si="0"/>
        <v>10</v>
      </c>
      <c r="C19" s="45" t="s">
        <v>22</v>
      </c>
      <c r="D19" s="38">
        <v>46093</v>
      </c>
      <c r="E19" s="36">
        <v>46097</v>
      </c>
      <c r="F19" s="37" t="s">
        <v>147</v>
      </c>
      <c r="G19" s="30" t="s">
        <v>774</v>
      </c>
      <c r="H19" s="28"/>
      <c r="I19" s="44" t="s">
        <v>756</v>
      </c>
      <c r="J19" s="31" t="s">
        <v>26</v>
      </c>
      <c r="K19" s="146" t="s">
        <v>9</v>
      </c>
      <c r="L19" s="31" t="s">
        <v>256</v>
      </c>
    </row>
    <row r="20" spans="2:12" ht="26">
      <c r="B20" s="46">
        <f t="shared" si="0"/>
        <v>11</v>
      </c>
      <c r="C20" s="45" t="s">
        <v>22</v>
      </c>
      <c r="D20" s="38">
        <v>46093</v>
      </c>
      <c r="E20" s="36">
        <v>46097</v>
      </c>
      <c r="F20" s="37" t="s">
        <v>147</v>
      </c>
      <c r="G20" s="30" t="s">
        <v>775</v>
      </c>
      <c r="H20" s="28"/>
      <c r="I20" s="44" t="s">
        <v>160</v>
      </c>
      <c r="J20" s="31" t="s">
        <v>96</v>
      </c>
      <c r="K20" s="146" t="s">
        <v>9</v>
      </c>
      <c r="L20" s="31"/>
    </row>
    <row r="21" spans="2:12" ht="26">
      <c r="B21" s="46">
        <f t="shared" si="0"/>
        <v>12</v>
      </c>
      <c r="C21" s="45" t="s">
        <v>22</v>
      </c>
      <c r="D21" s="38">
        <v>46093</v>
      </c>
      <c r="E21" s="36">
        <v>46097</v>
      </c>
      <c r="F21" s="37" t="s">
        <v>147</v>
      </c>
      <c r="G21" s="30" t="s">
        <v>776</v>
      </c>
      <c r="H21" s="28"/>
      <c r="I21" s="44" t="s">
        <v>777</v>
      </c>
      <c r="J21" s="31" t="s">
        <v>26</v>
      </c>
      <c r="K21" s="146" t="s">
        <v>9</v>
      </c>
      <c r="L21" s="31" t="s">
        <v>509</v>
      </c>
    </row>
    <row r="22" spans="2:12">
      <c r="B22" s="46">
        <f t="shared" si="0"/>
        <v>13</v>
      </c>
      <c r="C22" s="45" t="s">
        <v>22</v>
      </c>
      <c r="D22" s="38">
        <v>46093</v>
      </c>
      <c r="E22" s="45"/>
      <c r="F22" s="37" t="s">
        <v>147</v>
      </c>
      <c r="G22" s="30" t="s">
        <v>778</v>
      </c>
      <c r="H22" s="28"/>
      <c r="I22" s="44"/>
      <c r="J22" s="31" t="s">
        <v>96</v>
      </c>
      <c r="K22" s="146" t="s">
        <v>7</v>
      </c>
      <c r="L22" s="31"/>
    </row>
    <row r="23" spans="2:12" ht="39">
      <c r="B23" s="46">
        <f t="shared" si="0"/>
        <v>14</v>
      </c>
      <c r="C23" s="45" t="s">
        <v>22</v>
      </c>
      <c r="D23" s="38">
        <v>46093</v>
      </c>
      <c r="E23" s="36">
        <v>46097</v>
      </c>
      <c r="F23" s="37" t="s">
        <v>147</v>
      </c>
      <c r="G23" s="30" t="s">
        <v>779</v>
      </c>
      <c r="H23" s="28" t="s">
        <v>1440</v>
      </c>
      <c r="I23" s="44" t="s">
        <v>1508</v>
      </c>
      <c r="J23" s="31" t="s">
        <v>96</v>
      </c>
      <c r="K23" s="146" t="s">
        <v>9</v>
      </c>
      <c r="L23" s="31" t="s">
        <v>580</v>
      </c>
    </row>
    <row r="24" spans="2:12" ht="26">
      <c r="B24" s="46">
        <f t="shared" si="0"/>
        <v>15</v>
      </c>
      <c r="C24" s="45" t="s">
        <v>22</v>
      </c>
      <c r="D24" s="38">
        <v>46093</v>
      </c>
      <c r="E24" s="36">
        <v>46097</v>
      </c>
      <c r="F24" s="37" t="s">
        <v>147</v>
      </c>
      <c r="G24" s="30" t="s">
        <v>780</v>
      </c>
      <c r="H24" s="28"/>
      <c r="I24" s="44"/>
      <c r="J24" s="31" t="s">
        <v>96</v>
      </c>
      <c r="K24" s="146" t="s">
        <v>9</v>
      </c>
      <c r="L24" s="31"/>
    </row>
    <row r="25" spans="2:12" ht="39">
      <c r="B25" s="46">
        <f t="shared" si="0"/>
        <v>16</v>
      </c>
      <c r="C25" s="45" t="s">
        <v>22</v>
      </c>
      <c r="D25" s="38">
        <v>46093</v>
      </c>
      <c r="E25" s="36">
        <v>46101</v>
      </c>
      <c r="F25" s="37" t="s">
        <v>147</v>
      </c>
      <c r="G25" s="30" t="s">
        <v>781</v>
      </c>
      <c r="H25" s="28"/>
      <c r="I25" s="44" t="s">
        <v>782</v>
      </c>
      <c r="J25" s="31" t="s">
        <v>96</v>
      </c>
      <c r="K25" s="146" t="s">
        <v>9</v>
      </c>
      <c r="L25" s="31" t="s">
        <v>509</v>
      </c>
    </row>
    <row r="26" spans="2:12" ht="26">
      <c r="B26" s="46">
        <f t="shared" si="0"/>
        <v>17</v>
      </c>
      <c r="C26" s="45" t="s">
        <v>22</v>
      </c>
      <c r="D26" s="38">
        <v>46093</v>
      </c>
      <c r="E26" s="36">
        <v>46106</v>
      </c>
      <c r="F26" s="37" t="s">
        <v>147</v>
      </c>
      <c r="G26" s="30" t="s">
        <v>783</v>
      </c>
      <c r="H26" s="28"/>
      <c r="I26" s="44" t="s">
        <v>784</v>
      </c>
      <c r="J26" s="31" t="s">
        <v>96</v>
      </c>
      <c r="K26" s="146" t="s">
        <v>9</v>
      </c>
      <c r="L26" s="31"/>
    </row>
    <row r="27" spans="2:12" ht="39">
      <c r="B27" s="46">
        <f t="shared" si="0"/>
        <v>18</v>
      </c>
      <c r="C27" s="45" t="s">
        <v>22</v>
      </c>
      <c r="D27" s="38">
        <v>46093</v>
      </c>
      <c r="E27" s="36">
        <v>46101</v>
      </c>
      <c r="F27" s="37" t="s">
        <v>147</v>
      </c>
      <c r="G27" s="30" t="s">
        <v>785</v>
      </c>
      <c r="H27" s="28"/>
      <c r="I27" s="44" t="s">
        <v>786</v>
      </c>
      <c r="J27" s="31" t="s">
        <v>26</v>
      </c>
      <c r="K27" s="146" t="s">
        <v>9</v>
      </c>
      <c r="L27" s="31" t="s">
        <v>787</v>
      </c>
    </row>
    <row r="28" spans="2:12" ht="26">
      <c r="B28" s="46">
        <f t="shared" si="0"/>
        <v>19</v>
      </c>
      <c r="C28" s="45" t="s">
        <v>22</v>
      </c>
      <c r="D28" s="38">
        <v>46093</v>
      </c>
      <c r="E28" s="36">
        <v>46097</v>
      </c>
      <c r="F28" s="37" t="s">
        <v>147</v>
      </c>
      <c r="G28" s="30" t="s">
        <v>788</v>
      </c>
      <c r="H28" s="28"/>
      <c r="I28" s="44" t="s">
        <v>789</v>
      </c>
      <c r="J28" s="31" t="s">
        <v>26</v>
      </c>
      <c r="K28" s="146" t="s">
        <v>9</v>
      </c>
      <c r="L28" s="31" t="s">
        <v>790</v>
      </c>
    </row>
    <row r="29" spans="2:12" ht="39">
      <c r="B29" s="46">
        <f t="shared" si="0"/>
        <v>20</v>
      </c>
      <c r="C29" s="45" t="s">
        <v>22</v>
      </c>
      <c r="D29" s="38">
        <v>46093</v>
      </c>
      <c r="E29" s="36">
        <v>46098</v>
      </c>
      <c r="F29" s="37" t="s">
        <v>147</v>
      </c>
      <c r="G29" s="30" t="s">
        <v>791</v>
      </c>
      <c r="H29" s="28" t="s">
        <v>1439</v>
      </c>
      <c r="I29" s="44" t="s">
        <v>312</v>
      </c>
      <c r="J29" s="31" t="s">
        <v>96</v>
      </c>
      <c r="K29" s="146" t="s">
        <v>9</v>
      </c>
      <c r="L29" s="31"/>
    </row>
    <row r="30" spans="2:12" ht="156">
      <c r="B30" s="46">
        <f t="shared" si="0"/>
        <v>21</v>
      </c>
      <c r="C30" s="45" t="s">
        <v>22</v>
      </c>
      <c r="D30" s="38">
        <v>46093</v>
      </c>
      <c r="E30" s="36">
        <v>46097</v>
      </c>
      <c r="F30" s="37" t="s">
        <v>147</v>
      </c>
      <c r="G30" s="30" t="s">
        <v>792</v>
      </c>
      <c r="H30" s="28"/>
      <c r="I30" s="44" t="s">
        <v>756</v>
      </c>
      <c r="J30" s="31" t="s">
        <v>26</v>
      </c>
      <c r="K30" s="146" t="s">
        <v>9</v>
      </c>
      <c r="L30" s="31" t="s">
        <v>256</v>
      </c>
    </row>
    <row r="31" spans="2:12" ht="65">
      <c r="B31" s="46">
        <f t="shared" si="0"/>
        <v>22</v>
      </c>
      <c r="C31" s="45" t="s">
        <v>22</v>
      </c>
      <c r="D31" s="38">
        <v>46093</v>
      </c>
      <c r="E31" s="36">
        <v>46097</v>
      </c>
      <c r="F31" s="37" t="s">
        <v>147</v>
      </c>
      <c r="G31" s="30" t="s">
        <v>793</v>
      </c>
      <c r="H31" s="28" t="s">
        <v>1438</v>
      </c>
      <c r="I31" s="44" t="s">
        <v>317</v>
      </c>
      <c r="J31" s="31" t="s">
        <v>26</v>
      </c>
      <c r="K31" s="146" t="s">
        <v>8</v>
      </c>
      <c r="L31" s="31" t="s">
        <v>318</v>
      </c>
    </row>
    <row r="32" spans="2:12" ht="78">
      <c r="B32" s="46">
        <f t="shared" si="0"/>
        <v>23</v>
      </c>
      <c r="C32" s="45" t="s">
        <v>22</v>
      </c>
      <c r="D32" s="38">
        <v>46093</v>
      </c>
      <c r="E32" s="36">
        <v>46097</v>
      </c>
      <c r="F32" s="37" t="s">
        <v>147</v>
      </c>
      <c r="G32" s="30" t="s">
        <v>794</v>
      </c>
      <c r="H32" s="28"/>
      <c r="I32" s="44" t="s">
        <v>795</v>
      </c>
      <c r="J32" s="31" t="s">
        <v>96</v>
      </c>
      <c r="K32" s="146" t="s">
        <v>9</v>
      </c>
      <c r="L32" s="31"/>
    </row>
    <row r="33" spans="2:12" ht="39">
      <c r="B33" s="46">
        <f t="shared" si="0"/>
        <v>24</v>
      </c>
      <c r="C33" s="45" t="s">
        <v>22</v>
      </c>
      <c r="D33" s="38">
        <v>46093</v>
      </c>
      <c r="E33" s="36">
        <v>46097</v>
      </c>
      <c r="F33" s="37" t="s">
        <v>147</v>
      </c>
      <c r="G33" s="30" t="s">
        <v>796</v>
      </c>
      <c r="H33" s="28"/>
      <c r="I33" s="44" t="s">
        <v>797</v>
      </c>
      <c r="J33" s="31" t="s">
        <v>96</v>
      </c>
      <c r="K33" s="146" t="s">
        <v>9</v>
      </c>
      <c r="L33" s="31" t="s">
        <v>349</v>
      </c>
    </row>
    <row r="34" spans="2:12" ht="26">
      <c r="B34" s="46">
        <f t="shared" si="0"/>
        <v>25</v>
      </c>
      <c r="C34" s="45" t="s">
        <v>22</v>
      </c>
      <c r="D34" s="38">
        <v>46093</v>
      </c>
      <c r="E34" s="36">
        <v>46101</v>
      </c>
      <c r="F34" s="37" t="s">
        <v>147</v>
      </c>
      <c r="G34" s="30" t="s">
        <v>798</v>
      </c>
      <c r="H34" s="28"/>
      <c r="I34" s="44" t="s">
        <v>799</v>
      </c>
      <c r="J34" s="31" t="s">
        <v>96</v>
      </c>
      <c r="K34" s="146" t="s">
        <v>9</v>
      </c>
      <c r="L34" s="31" t="s">
        <v>800</v>
      </c>
    </row>
    <row r="35" spans="2:12" ht="143">
      <c r="B35" s="46">
        <f t="shared" si="0"/>
        <v>26</v>
      </c>
      <c r="C35" s="45" t="s">
        <v>22</v>
      </c>
      <c r="D35" s="38">
        <v>46093</v>
      </c>
      <c r="E35" s="36">
        <v>46097</v>
      </c>
      <c r="F35" s="37" t="s">
        <v>147</v>
      </c>
      <c r="G35" s="30" t="s">
        <v>801</v>
      </c>
      <c r="H35" s="28"/>
      <c r="I35" s="44" t="s">
        <v>329</v>
      </c>
      <c r="J35" s="31" t="s">
        <v>26</v>
      </c>
      <c r="K35" s="146" t="s">
        <v>9</v>
      </c>
      <c r="L35" s="31" t="s">
        <v>236</v>
      </c>
    </row>
    <row r="36" spans="2:12" ht="39">
      <c r="B36" s="46">
        <f t="shared" si="0"/>
        <v>27</v>
      </c>
      <c r="C36" s="45" t="s">
        <v>22</v>
      </c>
      <c r="D36" s="38">
        <v>46093</v>
      </c>
      <c r="E36" s="36">
        <v>46101</v>
      </c>
      <c r="F36" s="37" t="s">
        <v>147</v>
      </c>
      <c r="G36" s="30" t="s">
        <v>802</v>
      </c>
      <c r="H36" s="28"/>
      <c r="I36" s="44" t="s">
        <v>803</v>
      </c>
      <c r="J36" s="31" t="s">
        <v>26</v>
      </c>
      <c r="K36" s="146" t="s">
        <v>9</v>
      </c>
      <c r="L36" s="31" t="s">
        <v>804</v>
      </c>
    </row>
    <row r="37" spans="2:12">
      <c r="B37" s="46">
        <f t="shared" si="0"/>
        <v>28</v>
      </c>
      <c r="C37" s="45" t="s">
        <v>22</v>
      </c>
      <c r="D37" s="38">
        <v>46093</v>
      </c>
      <c r="E37" s="36">
        <v>46097</v>
      </c>
      <c r="F37" s="37" t="s">
        <v>147</v>
      </c>
      <c r="G37" s="30" t="s">
        <v>805</v>
      </c>
      <c r="H37" s="28"/>
      <c r="I37" s="44" t="s">
        <v>806</v>
      </c>
      <c r="J37" s="31" t="s">
        <v>96</v>
      </c>
      <c r="K37" s="146" t="s">
        <v>9</v>
      </c>
      <c r="L37" s="31" t="s">
        <v>807</v>
      </c>
    </row>
    <row r="38" spans="2:12" ht="52">
      <c r="B38" s="46">
        <f t="shared" si="0"/>
        <v>29</v>
      </c>
      <c r="C38" s="45" t="s">
        <v>22</v>
      </c>
      <c r="D38" s="38">
        <v>46093</v>
      </c>
      <c r="E38" s="36">
        <v>46097</v>
      </c>
      <c r="F38" s="37" t="s">
        <v>147</v>
      </c>
      <c r="G38" s="30" t="s">
        <v>808</v>
      </c>
      <c r="H38" s="28"/>
      <c r="I38" s="44" t="s">
        <v>809</v>
      </c>
      <c r="J38" s="31" t="s">
        <v>96</v>
      </c>
      <c r="K38" s="146" t="s">
        <v>9</v>
      </c>
      <c r="L38" s="31" t="s">
        <v>810</v>
      </c>
    </row>
    <row r="39" spans="2:12" ht="117">
      <c r="B39" s="46">
        <f t="shared" si="0"/>
        <v>30</v>
      </c>
      <c r="C39" s="45" t="s">
        <v>22</v>
      </c>
      <c r="D39" s="38">
        <v>46093</v>
      </c>
      <c r="E39" s="36">
        <v>46097</v>
      </c>
      <c r="F39" s="37" t="s">
        <v>147</v>
      </c>
      <c r="G39" s="30" t="s">
        <v>811</v>
      </c>
      <c r="H39" s="28" t="s">
        <v>1437</v>
      </c>
      <c r="I39" s="44" t="s">
        <v>812</v>
      </c>
      <c r="J39" s="31" t="s">
        <v>26</v>
      </c>
      <c r="K39" s="146" t="s">
        <v>8</v>
      </c>
      <c r="L39" s="31" t="s">
        <v>813</v>
      </c>
    </row>
    <row r="40" spans="2:12" ht="65">
      <c r="B40" s="46">
        <f t="shared" si="0"/>
        <v>31</v>
      </c>
      <c r="C40" s="45" t="s">
        <v>22</v>
      </c>
      <c r="D40" s="38">
        <v>46093</v>
      </c>
      <c r="E40" s="36">
        <v>46097</v>
      </c>
      <c r="F40" s="37" t="s">
        <v>147</v>
      </c>
      <c r="G40" s="30" t="s">
        <v>814</v>
      </c>
      <c r="H40" s="28"/>
      <c r="I40" s="44" t="s">
        <v>195</v>
      </c>
      <c r="J40" s="31" t="s">
        <v>26</v>
      </c>
      <c r="K40" s="146" t="s">
        <v>9</v>
      </c>
      <c r="L40" s="31"/>
    </row>
    <row r="41" spans="2:12" ht="104">
      <c r="B41" s="46">
        <f t="shared" si="0"/>
        <v>32</v>
      </c>
      <c r="C41" s="45" t="s">
        <v>22</v>
      </c>
      <c r="D41" s="38">
        <v>46093</v>
      </c>
      <c r="E41" s="36">
        <v>46101</v>
      </c>
      <c r="F41" s="37" t="s">
        <v>147</v>
      </c>
      <c r="G41" s="30" t="s">
        <v>815</v>
      </c>
      <c r="H41" s="28"/>
      <c r="I41" s="44" t="s">
        <v>195</v>
      </c>
      <c r="J41" s="31" t="s">
        <v>26</v>
      </c>
      <c r="K41" s="146" t="s">
        <v>9</v>
      </c>
      <c r="L41" s="31"/>
    </row>
    <row r="42" spans="2:12" ht="39">
      <c r="B42" s="46">
        <f t="shared" si="0"/>
        <v>33</v>
      </c>
      <c r="C42" s="45" t="s">
        <v>22</v>
      </c>
      <c r="D42" s="38">
        <v>46093</v>
      </c>
      <c r="E42" s="36">
        <v>46098</v>
      </c>
      <c r="F42" s="37" t="s">
        <v>147</v>
      </c>
      <c r="G42" s="30" t="s">
        <v>816</v>
      </c>
      <c r="H42" s="28"/>
      <c r="I42" s="44" t="s">
        <v>817</v>
      </c>
      <c r="J42" s="31" t="s">
        <v>26</v>
      </c>
      <c r="K42" s="146" t="s">
        <v>9</v>
      </c>
      <c r="L42" s="31"/>
    </row>
    <row r="43" spans="2:12" ht="26">
      <c r="B43" s="46">
        <f t="shared" si="0"/>
        <v>34</v>
      </c>
      <c r="C43" s="45" t="s">
        <v>22</v>
      </c>
      <c r="D43" s="38">
        <v>46093</v>
      </c>
      <c r="E43" s="36">
        <v>46097</v>
      </c>
      <c r="F43" s="37" t="s">
        <v>147</v>
      </c>
      <c r="G43" s="30" t="s">
        <v>818</v>
      </c>
      <c r="H43" s="28"/>
      <c r="I43" s="44" t="s">
        <v>195</v>
      </c>
      <c r="J43" s="31" t="s">
        <v>96</v>
      </c>
      <c r="K43" s="146" t="s">
        <v>9</v>
      </c>
      <c r="L43" s="31"/>
    </row>
    <row r="44" spans="2:12">
      <c r="B44" s="46">
        <f t="shared" si="0"/>
        <v>35</v>
      </c>
      <c r="C44" s="45" t="s">
        <v>22</v>
      </c>
      <c r="D44" s="38">
        <v>46093</v>
      </c>
      <c r="E44" s="36">
        <v>46101</v>
      </c>
      <c r="F44" s="37" t="s">
        <v>147</v>
      </c>
      <c r="G44" s="30" t="s">
        <v>819</v>
      </c>
      <c r="H44" s="28"/>
      <c r="I44" s="44" t="s">
        <v>195</v>
      </c>
      <c r="J44" s="31" t="s">
        <v>96</v>
      </c>
      <c r="K44" s="146" t="s">
        <v>9</v>
      </c>
      <c r="L44" s="31"/>
    </row>
    <row r="45" spans="2:12" ht="26">
      <c r="B45" s="46">
        <f t="shared" si="0"/>
        <v>36</v>
      </c>
      <c r="C45" s="45" t="s">
        <v>22</v>
      </c>
      <c r="D45" s="38">
        <v>46093</v>
      </c>
      <c r="E45" s="36">
        <v>46101</v>
      </c>
      <c r="F45" s="37" t="s">
        <v>147</v>
      </c>
      <c r="G45" s="30" t="s">
        <v>820</v>
      </c>
      <c r="H45" s="28"/>
      <c r="I45" s="44" t="s">
        <v>195</v>
      </c>
      <c r="J45" s="31" t="s">
        <v>26</v>
      </c>
      <c r="K45" s="146" t="s">
        <v>9</v>
      </c>
      <c r="L45" s="31"/>
    </row>
    <row r="46" spans="2:12" ht="143">
      <c r="B46" s="46">
        <f t="shared" si="0"/>
        <v>37</v>
      </c>
      <c r="C46" s="45" t="s">
        <v>22</v>
      </c>
      <c r="D46" s="38">
        <v>46093</v>
      </c>
      <c r="E46" s="45"/>
      <c r="F46" s="37" t="s">
        <v>147</v>
      </c>
      <c r="G46" s="30" t="s">
        <v>821</v>
      </c>
      <c r="H46" s="233" t="s">
        <v>1436</v>
      </c>
      <c r="I46" s="44" t="s">
        <v>822</v>
      </c>
      <c r="J46" s="31" t="s">
        <v>26</v>
      </c>
      <c r="K46" s="146" t="s">
        <v>8</v>
      </c>
      <c r="L46" s="31" t="s">
        <v>158</v>
      </c>
    </row>
    <row r="47" spans="2:12" ht="117">
      <c r="B47" s="46">
        <f t="shared" si="0"/>
        <v>38</v>
      </c>
      <c r="C47" s="45" t="s">
        <v>22</v>
      </c>
      <c r="D47" s="38">
        <v>46093</v>
      </c>
      <c r="E47" s="36">
        <v>46097</v>
      </c>
      <c r="F47" s="37" t="s">
        <v>147</v>
      </c>
      <c r="G47" s="30" t="s">
        <v>823</v>
      </c>
      <c r="H47" s="28" t="s">
        <v>1435</v>
      </c>
      <c r="I47" s="44" t="s">
        <v>824</v>
      </c>
      <c r="J47" s="31" t="s">
        <v>26</v>
      </c>
      <c r="K47" s="146" t="s">
        <v>8</v>
      </c>
      <c r="L47" s="31" t="s">
        <v>652</v>
      </c>
    </row>
    <row r="48" spans="2:12" ht="39">
      <c r="B48" s="46">
        <f t="shared" si="0"/>
        <v>39</v>
      </c>
      <c r="C48" s="45" t="s">
        <v>22</v>
      </c>
      <c r="D48" s="38">
        <v>46093</v>
      </c>
      <c r="E48" s="36">
        <v>46101</v>
      </c>
      <c r="F48" s="37" t="s">
        <v>147</v>
      </c>
      <c r="G48" s="30" t="s">
        <v>825</v>
      </c>
      <c r="H48" s="28"/>
      <c r="I48" s="44" t="s">
        <v>826</v>
      </c>
      <c r="J48" s="31" t="s">
        <v>96</v>
      </c>
      <c r="K48" s="146" t="s">
        <v>9</v>
      </c>
      <c r="L48" s="31" t="s">
        <v>827</v>
      </c>
    </row>
    <row r="49" spans="2:12" ht="78">
      <c r="B49" s="46">
        <f t="shared" si="0"/>
        <v>40</v>
      </c>
      <c r="C49" s="45" t="s">
        <v>22</v>
      </c>
      <c r="D49" s="38">
        <v>46093</v>
      </c>
      <c r="E49" s="36">
        <v>46097</v>
      </c>
      <c r="F49" s="37" t="s">
        <v>147</v>
      </c>
      <c r="G49" s="30" t="s">
        <v>828</v>
      </c>
      <c r="H49" s="28"/>
      <c r="I49" s="44" t="s">
        <v>824</v>
      </c>
      <c r="J49" s="31" t="s">
        <v>96</v>
      </c>
      <c r="K49" s="146" t="s">
        <v>9</v>
      </c>
      <c r="L49" s="31" t="s">
        <v>652</v>
      </c>
    </row>
    <row r="50" spans="2:12" ht="26">
      <c r="B50" s="46">
        <f t="shared" si="0"/>
        <v>41</v>
      </c>
      <c r="C50" s="45" t="s">
        <v>22</v>
      </c>
      <c r="D50" s="38">
        <v>46093</v>
      </c>
      <c r="E50" s="36">
        <v>46101</v>
      </c>
      <c r="F50" s="37" t="s">
        <v>147</v>
      </c>
      <c r="G50" s="30" t="s">
        <v>829</v>
      </c>
      <c r="H50" s="28"/>
      <c r="I50" s="44" t="s">
        <v>830</v>
      </c>
      <c r="J50" s="31" t="s">
        <v>96</v>
      </c>
      <c r="K50" s="146" t="s">
        <v>9</v>
      </c>
      <c r="L50" s="31" t="s">
        <v>246</v>
      </c>
    </row>
    <row r="51" spans="2:12" ht="26">
      <c r="B51" s="46">
        <f t="shared" si="0"/>
        <v>42</v>
      </c>
      <c r="C51" s="45" t="s">
        <v>22</v>
      </c>
      <c r="D51" s="38">
        <v>46093</v>
      </c>
      <c r="E51" s="36">
        <v>46097</v>
      </c>
      <c r="F51" s="37" t="s">
        <v>147</v>
      </c>
      <c r="G51" s="30" t="s">
        <v>831</v>
      </c>
      <c r="H51" s="28"/>
      <c r="I51" s="44" t="s">
        <v>832</v>
      </c>
      <c r="J51" s="31" t="s">
        <v>96</v>
      </c>
      <c r="K51" s="146" t="s">
        <v>9</v>
      </c>
      <c r="L51" s="31" t="s">
        <v>833</v>
      </c>
    </row>
    <row r="52" spans="2:12" ht="91">
      <c r="B52" s="46">
        <f t="shared" si="0"/>
        <v>43</v>
      </c>
      <c r="C52" s="45" t="s">
        <v>22</v>
      </c>
      <c r="D52" s="38">
        <v>46093</v>
      </c>
      <c r="E52" s="36">
        <v>46097</v>
      </c>
      <c r="F52" s="37" t="s">
        <v>147</v>
      </c>
      <c r="G52" s="30" t="s">
        <v>834</v>
      </c>
      <c r="H52" s="28"/>
      <c r="I52" s="44" t="s">
        <v>835</v>
      </c>
      <c r="J52" s="31" t="s">
        <v>26</v>
      </c>
      <c r="K52" s="146" t="s">
        <v>9</v>
      </c>
      <c r="L52" s="31" t="s">
        <v>836</v>
      </c>
    </row>
    <row r="53" spans="2:12" ht="26">
      <c r="B53" s="46">
        <f t="shared" si="0"/>
        <v>44</v>
      </c>
      <c r="C53" s="45" t="s">
        <v>22</v>
      </c>
      <c r="D53" s="38">
        <v>46093</v>
      </c>
      <c r="E53" s="36">
        <v>46101</v>
      </c>
      <c r="F53" s="37" t="s">
        <v>147</v>
      </c>
      <c r="G53" s="30" t="s">
        <v>837</v>
      </c>
      <c r="H53" s="28"/>
      <c r="I53" s="44" t="s">
        <v>838</v>
      </c>
      <c r="J53" s="31" t="s">
        <v>96</v>
      </c>
      <c r="K53" s="146" t="s">
        <v>9</v>
      </c>
      <c r="L53" s="31" t="s">
        <v>839</v>
      </c>
    </row>
    <row r="54" spans="2:12" ht="104">
      <c r="B54" s="46">
        <f t="shared" si="0"/>
        <v>45</v>
      </c>
      <c r="C54" s="45" t="s">
        <v>22</v>
      </c>
      <c r="D54" s="38">
        <v>46093</v>
      </c>
      <c r="E54" s="36">
        <v>46101</v>
      </c>
      <c r="F54" s="37" t="s">
        <v>147</v>
      </c>
      <c r="G54" s="30" t="s">
        <v>840</v>
      </c>
      <c r="H54" s="28"/>
      <c r="I54" s="44" t="s">
        <v>841</v>
      </c>
      <c r="J54" s="31" t="s">
        <v>96</v>
      </c>
      <c r="K54" s="146" t="s">
        <v>9</v>
      </c>
      <c r="L54" s="31"/>
    </row>
    <row r="55" spans="2:12" ht="26">
      <c r="B55" s="46">
        <f t="shared" si="0"/>
        <v>46</v>
      </c>
      <c r="C55" s="45" t="s">
        <v>22</v>
      </c>
      <c r="D55" s="38">
        <v>46093</v>
      </c>
      <c r="E55" s="36">
        <v>46101</v>
      </c>
      <c r="F55" s="37" t="s">
        <v>147</v>
      </c>
      <c r="G55" s="30" t="s">
        <v>842</v>
      </c>
      <c r="H55" s="28"/>
      <c r="I55" s="44" t="s">
        <v>843</v>
      </c>
      <c r="J55" s="31" t="s">
        <v>96</v>
      </c>
      <c r="K55" s="146" t="s">
        <v>9</v>
      </c>
      <c r="L55" s="31" t="s">
        <v>844</v>
      </c>
    </row>
    <row r="56" spans="2:12" ht="91">
      <c r="B56" s="46">
        <f t="shared" si="0"/>
        <v>47</v>
      </c>
      <c r="C56" s="45" t="s">
        <v>22</v>
      </c>
      <c r="D56" s="38">
        <v>46093</v>
      </c>
      <c r="E56" s="36">
        <v>46098</v>
      </c>
      <c r="F56" s="37" t="s">
        <v>147</v>
      </c>
      <c r="G56" s="30" t="s">
        <v>845</v>
      </c>
      <c r="H56" s="28"/>
      <c r="I56" s="44" t="s">
        <v>195</v>
      </c>
      <c r="J56" s="31" t="s">
        <v>96</v>
      </c>
      <c r="K56" s="146" t="s">
        <v>9</v>
      </c>
      <c r="L56" s="31"/>
    </row>
    <row r="57" spans="2:12" ht="78">
      <c r="B57" s="46">
        <f t="shared" si="0"/>
        <v>48</v>
      </c>
      <c r="C57" s="45" t="s">
        <v>22</v>
      </c>
      <c r="D57" s="38">
        <v>46093</v>
      </c>
      <c r="E57" s="36">
        <v>46101</v>
      </c>
      <c r="F57" s="37" t="s">
        <v>147</v>
      </c>
      <c r="G57" s="30" t="s">
        <v>846</v>
      </c>
      <c r="H57" s="28"/>
      <c r="I57" s="44" t="s">
        <v>847</v>
      </c>
      <c r="J57" s="31" t="s">
        <v>26</v>
      </c>
      <c r="K57" s="146" t="s">
        <v>9</v>
      </c>
      <c r="L57" s="31" t="s">
        <v>848</v>
      </c>
    </row>
    <row r="58" spans="2:12" ht="52">
      <c r="B58" s="46">
        <f t="shared" si="0"/>
        <v>49</v>
      </c>
      <c r="C58" s="45" t="s">
        <v>22</v>
      </c>
      <c r="D58" s="38">
        <v>46093</v>
      </c>
      <c r="E58" s="36">
        <v>46097</v>
      </c>
      <c r="F58" s="37" t="s">
        <v>147</v>
      </c>
      <c r="G58" s="30" t="s">
        <v>849</v>
      </c>
      <c r="H58" s="28"/>
      <c r="I58" s="44" t="s">
        <v>812</v>
      </c>
      <c r="J58" s="31" t="s">
        <v>96</v>
      </c>
      <c r="K58" s="146" t="s">
        <v>9</v>
      </c>
      <c r="L58" s="31" t="s">
        <v>813</v>
      </c>
    </row>
    <row r="59" spans="2:12" ht="65">
      <c r="B59" s="46">
        <f t="shared" si="0"/>
        <v>50</v>
      </c>
      <c r="C59" s="45" t="s">
        <v>22</v>
      </c>
      <c r="D59" s="38">
        <v>46093</v>
      </c>
      <c r="E59" s="36">
        <v>46097</v>
      </c>
      <c r="F59" s="37" t="s">
        <v>147</v>
      </c>
      <c r="G59" s="30" t="s">
        <v>850</v>
      </c>
      <c r="H59" s="28"/>
      <c r="I59" s="44" t="s">
        <v>199</v>
      </c>
      <c r="J59" s="31" t="s">
        <v>96</v>
      </c>
      <c r="K59" s="146" t="s">
        <v>9</v>
      </c>
      <c r="L59" s="31"/>
    </row>
    <row r="60" spans="2:12" ht="26">
      <c r="B60" s="46">
        <f t="shared" si="0"/>
        <v>51</v>
      </c>
      <c r="C60" s="45" t="s">
        <v>22</v>
      </c>
      <c r="D60" s="38">
        <v>46093</v>
      </c>
      <c r="E60" s="36">
        <v>46097</v>
      </c>
      <c r="F60" s="37" t="s">
        <v>147</v>
      </c>
      <c r="G60" s="30" t="s">
        <v>851</v>
      </c>
      <c r="H60" s="28"/>
      <c r="I60" s="44" t="s">
        <v>852</v>
      </c>
      <c r="J60" s="31" t="s">
        <v>96</v>
      </c>
      <c r="K60" s="146" t="s">
        <v>9</v>
      </c>
      <c r="L60" s="31" t="s">
        <v>853</v>
      </c>
    </row>
    <row r="61" spans="2:12" ht="78">
      <c r="B61" s="46">
        <f t="shared" si="0"/>
        <v>52</v>
      </c>
      <c r="C61" s="45" t="s">
        <v>22</v>
      </c>
      <c r="D61" s="38">
        <v>46093</v>
      </c>
      <c r="E61" s="36">
        <v>46097</v>
      </c>
      <c r="F61" s="37" t="s">
        <v>147</v>
      </c>
      <c r="G61" s="30" t="s">
        <v>854</v>
      </c>
      <c r="H61" s="28"/>
      <c r="I61" s="44" t="s">
        <v>855</v>
      </c>
      <c r="J61" s="31" t="s">
        <v>26</v>
      </c>
      <c r="K61" s="146" t="s">
        <v>9</v>
      </c>
      <c r="L61" s="31"/>
    </row>
    <row r="62" spans="2:12" ht="26">
      <c r="B62" s="46">
        <f t="shared" si="0"/>
        <v>53</v>
      </c>
      <c r="C62" s="45" t="s">
        <v>22</v>
      </c>
      <c r="D62" s="38">
        <v>46093</v>
      </c>
      <c r="E62" s="36">
        <v>46097</v>
      </c>
      <c r="F62" s="37" t="s">
        <v>147</v>
      </c>
      <c r="G62" s="30" t="s">
        <v>856</v>
      </c>
      <c r="H62" s="28"/>
      <c r="I62" s="44" t="s">
        <v>857</v>
      </c>
      <c r="J62" s="31" t="s">
        <v>26</v>
      </c>
      <c r="K62" s="146" t="s">
        <v>9</v>
      </c>
      <c r="L62" s="31" t="s">
        <v>858</v>
      </c>
    </row>
    <row r="63" spans="2:12" ht="26">
      <c r="B63" s="46">
        <f t="shared" si="0"/>
        <v>54</v>
      </c>
      <c r="C63" s="45" t="s">
        <v>22</v>
      </c>
      <c r="D63" s="38">
        <v>46093</v>
      </c>
      <c r="E63" s="36">
        <v>46097</v>
      </c>
      <c r="F63" s="37" t="s">
        <v>147</v>
      </c>
      <c r="G63" s="30" t="s">
        <v>859</v>
      </c>
      <c r="H63" s="28"/>
      <c r="I63" s="44" t="s">
        <v>857</v>
      </c>
      <c r="J63" s="31" t="s">
        <v>96</v>
      </c>
      <c r="K63" s="146" t="s">
        <v>9</v>
      </c>
      <c r="L63" s="31" t="s">
        <v>858</v>
      </c>
    </row>
    <row r="64" spans="2:12" ht="78">
      <c r="B64" s="46">
        <f t="shared" si="0"/>
        <v>55</v>
      </c>
      <c r="C64" s="45" t="s">
        <v>22</v>
      </c>
      <c r="D64" s="38">
        <v>46093</v>
      </c>
      <c r="E64" s="36">
        <v>46097</v>
      </c>
      <c r="F64" s="37" t="s">
        <v>147</v>
      </c>
      <c r="G64" s="30" t="s">
        <v>860</v>
      </c>
      <c r="H64" s="28"/>
      <c r="I64" s="44" t="s">
        <v>857</v>
      </c>
      <c r="J64" s="31" t="s">
        <v>26</v>
      </c>
      <c r="K64" s="146" t="s">
        <v>9</v>
      </c>
      <c r="L64" s="31" t="s">
        <v>858</v>
      </c>
    </row>
    <row r="65" spans="2:12" ht="26">
      <c r="B65" s="46">
        <f t="shared" si="0"/>
        <v>56</v>
      </c>
      <c r="C65" s="45" t="s">
        <v>22</v>
      </c>
      <c r="D65" s="38">
        <v>46093</v>
      </c>
      <c r="E65" s="36">
        <v>46097</v>
      </c>
      <c r="F65" s="37" t="s">
        <v>147</v>
      </c>
      <c r="G65" s="30" t="s">
        <v>861</v>
      </c>
      <c r="H65" s="28"/>
      <c r="I65" s="44" t="s">
        <v>195</v>
      </c>
      <c r="J65" s="31" t="s">
        <v>96</v>
      </c>
      <c r="K65" s="146" t="s">
        <v>9</v>
      </c>
      <c r="L65" s="31"/>
    </row>
    <row r="66" spans="2:12" ht="52">
      <c r="B66" s="46">
        <f t="shared" si="0"/>
        <v>57</v>
      </c>
      <c r="C66" s="45" t="s">
        <v>22</v>
      </c>
      <c r="D66" s="38">
        <v>46093</v>
      </c>
      <c r="E66" s="36">
        <v>46097</v>
      </c>
      <c r="F66" s="37" t="s">
        <v>147</v>
      </c>
      <c r="G66" s="30" t="s">
        <v>862</v>
      </c>
      <c r="H66" s="28"/>
      <c r="I66" s="44" t="s">
        <v>195</v>
      </c>
      <c r="J66" s="31" t="s">
        <v>96</v>
      </c>
      <c r="K66" s="146" t="s">
        <v>9</v>
      </c>
      <c r="L66" s="31"/>
    </row>
    <row r="67" spans="2:12" ht="39">
      <c r="B67" s="46">
        <f t="shared" si="0"/>
        <v>58</v>
      </c>
      <c r="C67" s="45" t="s">
        <v>22</v>
      </c>
      <c r="D67" s="38">
        <v>46093</v>
      </c>
      <c r="E67" s="36">
        <v>46097</v>
      </c>
      <c r="F67" s="37" t="s">
        <v>147</v>
      </c>
      <c r="G67" s="30" t="s">
        <v>863</v>
      </c>
      <c r="H67" s="28"/>
      <c r="I67" s="44" t="s">
        <v>195</v>
      </c>
      <c r="J67" s="31" t="s">
        <v>96</v>
      </c>
      <c r="K67" s="146" t="s">
        <v>9</v>
      </c>
      <c r="L67" s="31"/>
    </row>
    <row r="68" spans="2:12" ht="26">
      <c r="B68" s="46">
        <f t="shared" si="0"/>
        <v>59</v>
      </c>
      <c r="C68" s="45" t="s">
        <v>22</v>
      </c>
      <c r="D68" s="38">
        <v>46093</v>
      </c>
      <c r="E68" s="36">
        <v>46097</v>
      </c>
      <c r="F68" s="37" t="s">
        <v>147</v>
      </c>
      <c r="G68" s="30" t="s">
        <v>864</v>
      </c>
      <c r="H68" s="28"/>
      <c r="I68" s="44" t="s">
        <v>195</v>
      </c>
      <c r="J68" s="31" t="s">
        <v>96</v>
      </c>
      <c r="K68" s="146" t="s">
        <v>9</v>
      </c>
      <c r="L68" s="31"/>
    </row>
    <row r="69" spans="2:12" ht="26">
      <c r="B69" s="46">
        <f t="shared" si="0"/>
        <v>60</v>
      </c>
      <c r="C69" s="45" t="s">
        <v>22</v>
      </c>
      <c r="D69" s="38">
        <v>46093</v>
      </c>
      <c r="E69" s="36">
        <v>46097</v>
      </c>
      <c r="F69" s="37" t="s">
        <v>147</v>
      </c>
      <c r="G69" s="30" t="s">
        <v>865</v>
      </c>
      <c r="H69" s="28"/>
      <c r="I69" s="44" t="s">
        <v>195</v>
      </c>
      <c r="J69" s="31" t="s">
        <v>96</v>
      </c>
      <c r="K69" s="146" t="s">
        <v>9</v>
      </c>
      <c r="L69" s="31"/>
    </row>
    <row r="70" spans="2:12" ht="26">
      <c r="B70" s="46">
        <f t="shared" si="0"/>
        <v>61</v>
      </c>
      <c r="C70" s="45" t="s">
        <v>22</v>
      </c>
      <c r="D70" s="38">
        <v>46093</v>
      </c>
      <c r="E70" s="36">
        <v>46097</v>
      </c>
      <c r="F70" s="37" t="s">
        <v>147</v>
      </c>
      <c r="G70" s="30" t="s">
        <v>866</v>
      </c>
      <c r="H70" s="28"/>
      <c r="I70" s="44" t="s">
        <v>867</v>
      </c>
      <c r="J70" s="31" t="s">
        <v>96</v>
      </c>
      <c r="K70" s="146" t="s">
        <v>9</v>
      </c>
      <c r="L70" s="42" t="s">
        <v>868</v>
      </c>
    </row>
    <row r="71" spans="2:12" ht="39">
      <c r="B71" s="46">
        <f t="shared" si="0"/>
        <v>62</v>
      </c>
      <c r="C71" s="45" t="s">
        <v>22</v>
      </c>
      <c r="D71" s="38">
        <v>46093</v>
      </c>
      <c r="E71" s="36">
        <v>46097</v>
      </c>
      <c r="F71" s="37" t="s">
        <v>147</v>
      </c>
      <c r="G71" s="30" t="s">
        <v>869</v>
      </c>
      <c r="H71" s="28" t="s">
        <v>1433</v>
      </c>
      <c r="I71" s="44" t="s">
        <v>1434</v>
      </c>
      <c r="J71" s="31" t="s">
        <v>26</v>
      </c>
      <c r="K71" s="146" t="s">
        <v>9</v>
      </c>
      <c r="L71" s="31" t="s">
        <v>870</v>
      </c>
    </row>
    <row r="72" spans="2:12" ht="52">
      <c r="B72" s="46">
        <f t="shared" si="0"/>
        <v>63</v>
      </c>
      <c r="C72" s="45" t="s">
        <v>22</v>
      </c>
      <c r="D72" s="38">
        <v>46093</v>
      </c>
      <c r="E72" s="36">
        <v>46097</v>
      </c>
      <c r="F72" s="37" t="s">
        <v>147</v>
      </c>
      <c r="G72" s="30" t="s">
        <v>871</v>
      </c>
      <c r="H72" s="28" t="s">
        <v>1433</v>
      </c>
      <c r="I72" s="44" t="s">
        <v>628</v>
      </c>
      <c r="J72" s="31" t="s">
        <v>26</v>
      </c>
      <c r="K72" s="146" t="s">
        <v>8</v>
      </c>
      <c r="L72" s="31" t="s">
        <v>629</v>
      </c>
    </row>
    <row r="73" spans="2:12" ht="39">
      <c r="B73" s="46">
        <f t="shared" si="0"/>
        <v>64</v>
      </c>
      <c r="C73" s="45" t="s">
        <v>22</v>
      </c>
      <c r="D73" s="38">
        <v>46093</v>
      </c>
      <c r="E73" s="36">
        <v>46097</v>
      </c>
      <c r="F73" s="37" t="s">
        <v>147</v>
      </c>
      <c r="G73" s="30" t="s">
        <v>872</v>
      </c>
      <c r="H73" s="28" t="s">
        <v>1433</v>
      </c>
      <c r="I73" s="44" t="s">
        <v>1441</v>
      </c>
      <c r="J73" s="31" t="s">
        <v>26</v>
      </c>
      <c r="K73" s="146" t="s">
        <v>8</v>
      </c>
      <c r="L73" s="31" t="s">
        <v>873</v>
      </c>
    </row>
    <row r="74" spans="2:12">
      <c r="B74" s="46">
        <f t="shared" si="0"/>
        <v>65</v>
      </c>
      <c r="C74" s="45" t="s">
        <v>22</v>
      </c>
      <c r="D74" s="38">
        <v>46093</v>
      </c>
      <c r="E74" s="36">
        <v>46101</v>
      </c>
      <c r="F74" s="37" t="s">
        <v>147</v>
      </c>
      <c r="G74" s="30" t="s">
        <v>874</v>
      </c>
      <c r="H74" s="28"/>
      <c r="I74" s="44" t="s">
        <v>875</v>
      </c>
      <c r="J74" s="31" t="s">
        <v>100</v>
      </c>
      <c r="K74" s="146" t="s">
        <v>9</v>
      </c>
      <c r="L74" s="31" t="s">
        <v>876</v>
      </c>
    </row>
    <row r="75" spans="2:12">
      <c r="B75" s="46">
        <f t="shared" si="0"/>
        <v>66</v>
      </c>
      <c r="C75" s="45" t="s">
        <v>22</v>
      </c>
      <c r="D75" s="38">
        <v>46093</v>
      </c>
      <c r="E75" s="36">
        <v>46101</v>
      </c>
      <c r="F75" s="37" t="s">
        <v>147</v>
      </c>
      <c r="G75" s="30" t="s">
        <v>877</v>
      </c>
      <c r="H75" s="28"/>
      <c r="I75" s="44" t="s">
        <v>878</v>
      </c>
      <c r="J75" s="31" t="s">
        <v>26</v>
      </c>
      <c r="K75" s="146" t="s">
        <v>9</v>
      </c>
      <c r="L75" s="31" t="s">
        <v>879</v>
      </c>
    </row>
    <row r="76" spans="2:12">
      <c r="B76" s="46">
        <f t="shared" ref="B76:B139" si="1">B75+1</f>
        <v>67</v>
      </c>
      <c r="C76" s="45" t="s">
        <v>22</v>
      </c>
      <c r="D76" s="38">
        <v>46093</v>
      </c>
      <c r="E76" s="36">
        <v>46101</v>
      </c>
      <c r="F76" s="37" t="s">
        <v>147</v>
      </c>
      <c r="G76" s="30" t="s">
        <v>880</v>
      </c>
      <c r="H76" s="28"/>
      <c r="I76" s="44" t="s">
        <v>881</v>
      </c>
      <c r="J76" s="31" t="s">
        <v>100</v>
      </c>
      <c r="K76" s="146" t="s">
        <v>9</v>
      </c>
      <c r="L76" s="31" t="s">
        <v>882</v>
      </c>
    </row>
    <row r="77" spans="2:12" ht="26">
      <c r="B77" s="46">
        <f t="shared" si="1"/>
        <v>68</v>
      </c>
      <c r="C77" s="45" t="s">
        <v>22</v>
      </c>
      <c r="D77" s="38">
        <v>46093</v>
      </c>
      <c r="E77" s="36">
        <v>46098</v>
      </c>
      <c r="F77" s="37" t="s">
        <v>147</v>
      </c>
      <c r="G77" s="30" t="s">
        <v>883</v>
      </c>
      <c r="H77" s="28"/>
      <c r="I77" s="44" t="s">
        <v>884</v>
      </c>
      <c r="J77" s="31" t="s">
        <v>26</v>
      </c>
      <c r="K77" s="146" t="s">
        <v>9</v>
      </c>
      <c r="L77" s="31" t="s">
        <v>873</v>
      </c>
    </row>
    <row r="78" spans="2:12" ht="208">
      <c r="B78" s="46">
        <f t="shared" si="1"/>
        <v>69</v>
      </c>
      <c r="C78" s="45" t="s">
        <v>22</v>
      </c>
      <c r="D78" s="38">
        <v>46093</v>
      </c>
      <c r="E78" s="36">
        <v>46097</v>
      </c>
      <c r="F78" s="37" t="s">
        <v>147</v>
      </c>
      <c r="G78" s="30" t="s">
        <v>885</v>
      </c>
      <c r="H78" s="28"/>
      <c r="I78" s="44" t="s">
        <v>886</v>
      </c>
      <c r="J78" s="31" t="s">
        <v>26</v>
      </c>
      <c r="K78" s="146" t="s">
        <v>9</v>
      </c>
      <c r="L78" s="31" t="s">
        <v>887</v>
      </c>
    </row>
    <row r="79" spans="2:12" ht="39">
      <c r="B79" s="46">
        <f t="shared" si="1"/>
        <v>70</v>
      </c>
      <c r="C79" s="45" t="s">
        <v>22</v>
      </c>
      <c r="D79" s="38">
        <v>46093</v>
      </c>
      <c r="E79" s="36">
        <v>46097</v>
      </c>
      <c r="F79" s="37" t="s">
        <v>147</v>
      </c>
      <c r="G79" s="30" t="s">
        <v>888</v>
      </c>
      <c r="H79" s="28"/>
      <c r="I79" s="44" t="s">
        <v>756</v>
      </c>
      <c r="J79" s="31" t="s">
        <v>26</v>
      </c>
      <c r="K79" s="146" t="s">
        <v>9</v>
      </c>
      <c r="L79" s="31" t="s">
        <v>256</v>
      </c>
    </row>
    <row r="80" spans="2:12" ht="78">
      <c r="B80" s="46">
        <f t="shared" si="1"/>
        <v>71</v>
      </c>
      <c r="C80" s="45" t="s">
        <v>22</v>
      </c>
      <c r="D80" s="38">
        <v>46093</v>
      </c>
      <c r="E80" s="36">
        <v>46097</v>
      </c>
      <c r="F80" s="37" t="s">
        <v>147</v>
      </c>
      <c r="G80" s="30" t="s">
        <v>889</v>
      </c>
      <c r="H80" s="28"/>
      <c r="I80" s="44" t="s">
        <v>756</v>
      </c>
      <c r="J80" s="31" t="s">
        <v>96</v>
      </c>
      <c r="K80" s="146" t="s">
        <v>9</v>
      </c>
      <c r="L80" s="31" t="s">
        <v>256</v>
      </c>
    </row>
    <row r="81" spans="2:12" ht="78">
      <c r="B81" s="46">
        <f t="shared" si="1"/>
        <v>72</v>
      </c>
      <c r="C81" s="45" t="s">
        <v>22</v>
      </c>
      <c r="D81" s="38">
        <v>46093</v>
      </c>
      <c r="E81" s="36">
        <v>46097</v>
      </c>
      <c r="F81" s="37" t="s">
        <v>147</v>
      </c>
      <c r="G81" s="30" t="s">
        <v>890</v>
      </c>
      <c r="H81" s="28"/>
      <c r="I81" s="44" t="s">
        <v>891</v>
      </c>
      <c r="J81" s="31" t="s">
        <v>26</v>
      </c>
      <c r="K81" s="146" t="s">
        <v>9</v>
      </c>
      <c r="L81" s="31" t="s">
        <v>416</v>
      </c>
    </row>
    <row r="82" spans="2:12" ht="65">
      <c r="B82" s="46">
        <f t="shared" si="1"/>
        <v>73</v>
      </c>
      <c r="C82" s="45" t="s">
        <v>22</v>
      </c>
      <c r="D82" s="38">
        <v>46093</v>
      </c>
      <c r="E82" s="36">
        <v>46097</v>
      </c>
      <c r="F82" s="37" t="s">
        <v>147</v>
      </c>
      <c r="G82" s="30" t="s">
        <v>892</v>
      </c>
      <c r="H82" s="28"/>
      <c r="I82" s="44" t="s">
        <v>195</v>
      </c>
      <c r="J82" s="31" t="s">
        <v>26</v>
      </c>
      <c r="K82" s="146" t="s">
        <v>9</v>
      </c>
      <c r="L82" s="31"/>
    </row>
    <row r="83" spans="2:12" ht="26">
      <c r="B83" s="46">
        <f t="shared" si="1"/>
        <v>74</v>
      </c>
      <c r="C83" s="45" t="s">
        <v>22</v>
      </c>
      <c r="D83" s="38">
        <v>46093</v>
      </c>
      <c r="E83" s="36">
        <v>46097</v>
      </c>
      <c r="F83" s="37" t="s">
        <v>147</v>
      </c>
      <c r="G83" s="30" t="s">
        <v>893</v>
      </c>
      <c r="H83" s="28"/>
      <c r="I83" s="44" t="s">
        <v>195</v>
      </c>
      <c r="J83" s="31" t="s">
        <v>26</v>
      </c>
      <c r="K83" s="146" t="s">
        <v>9</v>
      </c>
      <c r="L83" s="31"/>
    </row>
    <row r="84" spans="2:12" ht="26">
      <c r="B84" s="46">
        <f t="shared" si="1"/>
        <v>75</v>
      </c>
      <c r="C84" s="45" t="s">
        <v>22</v>
      </c>
      <c r="D84" s="38">
        <v>46093</v>
      </c>
      <c r="E84" s="36">
        <v>46097</v>
      </c>
      <c r="F84" s="37" t="s">
        <v>147</v>
      </c>
      <c r="G84" s="30" t="s">
        <v>894</v>
      </c>
      <c r="H84" s="28"/>
      <c r="I84" s="44" t="s">
        <v>195</v>
      </c>
      <c r="J84" s="31" t="s">
        <v>26</v>
      </c>
      <c r="K84" s="146" t="s">
        <v>9</v>
      </c>
      <c r="L84" s="31"/>
    </row>
    <row r="85" spans="2:12" ht="26">
      <c r="B85" s="46">
        <f t="shared" si="1"/>
        <v>76</v>
      </c>
      <c r="C85" s="45" t="s">
        <v>22</v>
      </c>
      <c r="D85" s="38">
        <v>46093</v>
      </c>
      <c r="E85" s="36">
        <v>46097</v>
      </c>
      <c r="F85" s="37" t="s">
        <v>147</v>
      </c>
      <c r="G85" s="30" t="s">
        <v>895</v>
      </c>
      <c r="H85" s="28"/>
      <c r="I85" s="44" t="s">
        <v>195</v>
      </c>
      <c r="J85" s="31" t="s">
        <v>26</v>
      </c>
      <c r="K85" s="146" t="s">
        <v>9</v>
      </c>
      <c r="L85" s="31"/>
    </row>
    <row r="86" spans="2:12">
      <c r="B86" s="46">
        <f t="shared" si="1"/>
        <v>77</v>
      </c>
      <c r="C86" s="45" t="s">
        <v>22</v>
      </c>
      <c r="D86" s="38">
        <v>46093</v>
      </c>
      <c r="E86" s="36">
        <v>46097</v>
      </c>
      <c r="F86" s="37" t="s">
        <v>147</v>
      </c>
      <c r="G86" s="30" t="s">
        <v>896</v>
      </c>
      <c r="H86" s="28"/>
      <c r="I86" s="44" t="s">
        <v>195</v>
      </c>
      <c r="J86" s="31" t="s">
        <v>26</v>
      </c>
      <c r="K86" s="146" t="s">
        <v>9</v>
      </c>
      <c r="L86" s="31"/>
    </row>
    <row r="87" spans="2:12" ht="26">
      <c r="B87" s="46">
        <f t="shared" si="1"/>
        <v>78</v>
      </c>
      <c r="C87" s="45" t="s">
        <v>22</v>
      </c>
      <c r="D87" s="38">
        <v>46093</v>
      </c>
      <c r="E87" s="36">
        <v>46097</v>
      </c>
      <c r="F87" s="37" t="s">
        <v>147</v>
      </c>
      <c r="G87" s="30" t="s">
        <v>897</v>
      </c>
      <c r="H87" s="28"/>
      <c r="I87" s="44" t="s">
        <v>195</v>
      </c>
      <c r="J87" s="31" t="s">
        <v>26</v>
      </c>
      <c r="K87" s="146" t="s">
        <v>9</v>
      </c>
      <c r="L87" s="31"/>
    </row>
    <row r="88" spans="2:12" ht="39">
      <c r="B88" s="46">
        <f t="shared" si="1"/>
        <v>79</v>
      </c>
      <c r="C88" s="45" t="s">
        <v>22</v>
      </c>
      <c r="D88" s="38">
        <v>46093</v>
      </c>
      <c r="E88" s="36">
        <v>46097</v>
      </c>
      <c r="F88" s="37" t="s">
        <v>147</v>
      </c>
      <c r="G88" s="30" t="s">
        <v>898</v>
      </c>
      <c r="H88" s="28"/>
      <c r="I88" s="44" t="s">
        <v>195</v>
      </c>
      <c r="J88" s="31" t="s">
        <v>26</v>
      </c>
      <c r="K88" s="146" t="s">
        <v>9</v>
      </c>
      <c r="L88" s="31"/>
    </row>
    <row r="89" spans="2:12" ht="65">
      <c r="B89" s="46">
        <f t="shared" si="1"/>
        <v>80</v>
      </c>
      <c r="C89" s="45" t="s">
        <v>22</v>
      </c>
      <c r="D89" s="38">
        <v>46093</v>
      </c>
      <c r="E89" s="36">
        <v>46097</v>
      </c>
      <c r="F89" s="37" t="s">
        <v>147</v>
      </c>
      <c r="G89" s="30" t="s">
        <v>899</v>
      </c>
      <c r="H89" s="28"/>
      <c r="I89" s="44" t="s">
        <v>195</v>
      </c>
      <c r="J89" s="31" t="s">
        <v>26</v>
      </c>
      <c r="K89" s="146" t="s">
        <v>9</v>
      </c>
      <c r="L89" s="31"/>
    </row>
    <row r="90" spans="2:12" ht="65">
      <c r="B90" s="46">
        <f t="shared" si="1"/>
        <v>81</v>
      </c>
      <c r="C90" s="45" t="s">
        <v>22</v>
      </c>
      <c r="D90" s="38">
        <v>46093</v>
      </c>
      <c r="E90" s="36">
        <v>46097</v>
      </c>
      <c r="F90" s="37" t="s">
        <v>147</v>
      </c>
      <c r="G90" s="30" t="s">
        <v>900</v>
      </c>
      <c r="H90" s="28"/>
      <c r="I90" s="44" t="s">
        <v>195</v>
      </c>
      <c r="J90" s="31" t="s">
        <v>26</v>
      </c>
      <c r="K90" s="146" t="s">
        <v>9</v>
      </c>
      <c r="L90" s="31"/>
    </row>
    <row r="91" spans="2:12" ht="78">
      <c r="B91" s="46">
        <f t="shared" si="1"/>
        <v>82</v>
      </c>
      <c r="C91" s="45" t="s">
        <v>22</v>
      </c>
      <c r="D91" s="38">
        <v>46093</v>
      </c>
      <c r="E91" s="36">
        <v>46097</v>
      </c>
      <c r="F91" s="37" t="s">
        <v>147</v>
      </c>
      <c r="G91" s="30" t="s">
        <v>901</v>
      </c>
      <c r="H91" s="28"/>
      <c r="I91" s="44" t="s">
        <v>248</v>
      </c>
      <c r="J91" s="31" t="s">
        <v>26</v>
      </c>
      <c r="K91" s="146" t="s">
        <v>9</v>
      </c>
      <c r="L91" s="31"/>
    </row>
    <row r="92" spans="2:12" ht="91">
      <c r="B92" s="46">
        <f t="shared" si="1"/>
        <v>83</v>
      </c>
      <c r="C92" s="45" t="s">
        <v>22</v>
      </c>
      <c r="D92" s="38">
        <v>46093</v>
      </c>
      <c r="E92" s="36">
        <v>46097</v>
      </c>
      <c r="F92" s="37" t="s">
        <v>147</v>
      </c>
      <c r="G92" s="30" t="s">
        <v>902</v>
      </c>
      <c r="H92" s="28"/>
      <c r="I92" s="44" t="s">
        <v>248</v>
      </c>
      <c r="J92" s="31" t="s">
        <v>96</v>
      </c>
      <c r="K92" s="146" t="s">
        <v>9</v>
      </c>
      <c r="L92" s="31"/>
    </row>
    <row r="93" spans="2:12" ht="65">
      <c r="B93" s="46">
        <f t="shared" si="1"/>
        <v>84</v>
      </c>
      <c r="C93" s="45" t="s">
        <v>22</v>
      </c>
      <c r="D93" s="38">
        <v>46093</v>
      </c>
      <c r="E93" s="36">
        <v>46097</v>
      </c>
      <c r="F93" s="37" t="s">
        <v>147</v>
      </c>
      <c r="G93" s="30" t="s">
        <v>903</v>
      </c>
      <c r="H93" s="28"/>
      <c r="I93" s="44" t="s">
        <v>248</v>
      </c>
      <c r="J93" s="31" t="s">
        <v>26</v>
      </c>
      <c r="K93" s="146" t="s">
        <v>9</v>
      </c>
      <c r="L93" s="31"/>
    </row>
    <row r="94" spans="2:12" ht="39">
      <c r="B94" s="46">
        <f t="shared" si="1"/>
        <v>85</v>
      </c>
      <c r="C94" s="45" t="s">
        <v>22</v>
      </c>
      <c r="D94" s="38">
        <v>46093</v>
      </c>
      <c r="E94" s="36">
        <v>46098</v>
      </c>
      <c r="F94" s="37" t="s">
        <v>147</v>
      </c>
      <c r="G94" s="30" t="s">
        <v>904</v>
      </c>
      <c r="H94" s="28"/>
      <c r="I94" s="44" t="s">
        <v>905</v>
      </c>
      <c r="J94" s="31" t="s">
        <v>26</v>
      </c>
      <c r="K94" s="146" t="s">
        <v>9</v>
      </c>
      <c r="L94" s="31"/>
    </row>
    <row r="95" spans="2:12" ht="26">
      <c r="B95" s="46">
        <f t="shared" si="1"/>
        <v>86</v>
      </c>
      <c r="C95" s="45" t="s">
        <v>22</v>
      </c>
      <c r="D95" s="38">
        <v>46093</v>
      </c>
      <c r="E95" s="36">
        <v>46097</v>
      </c>
      <c r="F95" s="37" t="s">
        <v>147</v>
      </c>
      <c r="G95" s="30" t="s">
        <v>906</v>
      </c>
      <c r="H95" s="28"/>
      <c r="I95" s="44" t="s">
        <v>248</v>
      </c>
      <c r="J95" s="31" t="s">
        <v>26</v>
      </c>
      <c r="K95" s="146" t="s">
        <v>9</v>
      </c>
      <c r="L95" s="31"/>
    </row>
    <row r="96" spans="2:12" ht="78">
      <c r="B96" s="46">
        <f t="shared" si="1"/>
        <v>87</v>
      </c>
      <c r="C96" s="45" t="s">
        <v>22</v>
      </c>
      <c r="D96" s="38">
        <v>46093</v>
      </c>
      <c r="E96" s="36">
        <v>46097</v>
      </c>
      <c r="F96" s="37" t="s">
        <v>147</v>
      </c>
      <c r="G96" s="30" t="s">
        <v>907</v>
      </c>
      <c r="H96" s="28"/>
      <c r="I96" s="44" t="s">
        <v>199</v>
      </c>
      <c r="J96" s="31" t="s">
        <v>96</v>
      </c>
      <c r="K96" s="146" t="s">
        <v>9</v>
      </c>
      <c r="L96" s="31"/>
    </row>
    <row r="97" spans="2:12" ht="52">
      <c r="B97" s="46">
        <f t="shared" si="1"/>
        <v>88</v>
      </c>
      <c r="C97" s="45" t="s">
        <v>22</v>
      </c>
      <c r="D97" s="38">
        <v>46093</v>
      </c>
      <c r="E97" s="36">
        <v>46097</v>
      </c>
      <c r="F97" s="37" t="s">
        <v>147</v>
      </c>
      <c r="G97" s="30" t="s">
        <v>908</v>
      </c>
      <c r="H97" s="28"/>
      <c r="I97" s="44" t="s">
        <v>199</v>
      </c>
      <c r="J97" s="31" t="s">
        <v>26</v>
      </c>
      <c r="K97" s="146" t="s">
        <v>9</v>
      </c>
      <c r="L97" s="31"/>
    </row>
    <row r="98" spans="2:12" ht="65">
      <c r="B98" s="46">
        <f t="shared" si="1"/>
        <v>89</v>
      </c>
      <c r="C98" s="45" t="s">
        <v>22</v>
      </c>
      <c r="D98" s="38">
        <v>46093</v>
      </c>
      <c r="E98" s="36">
        <v>46097</v>
      </c>
      <c r="F98" s="37" t="s">
        <v>147</v>
      </c>
      <c r="G98" s="30" t="s">
        <v>909</v>
      </c>
      <c r="H98" s="28"/>
      <c r="I98" s="44" t="s">
        <v>248</v>
      </c>
      <c r="J98" s="31" t="s">
        <v>26</v>
      </c>
      <c r="K98" s="146" t="s">
        <v>9</v>
      </c>
      <c r="L98" s="31"/>
    </row>
    <row r="99" spans="2:12" ht="52">
      <c r="B99" s="46">
        <f t="shared" si="1"/>
        <v>90</v>
      </c>
      <c r="C99" s="45" t="s">
        <v>22</v>
      </c>
      <c r="D99" s="38">
        <v>46093</v>
      </c>
      <c r="E99" s="36">
        <v>46097</v>
      </c>
      <c r="F99" s="37" t="s">
        <v>147</v>
      </c>
      <c r="G99" s="30" t="s">
        <v>910</v>
      </c>
      <c r="H99" s="28"/>
      <c r="I99" s="44" t="s">
        <v>248</v>
      </c>
      <c r="J99" s="31" t="s">
        <v>26</v>
      </c>
      <c r="K99" s="146" t="s">
        <v>9</v>
      </c>
      <c r="L99" s="31"/>
    </row>
    <row r="100" spans="2:12" ht="39">
      <c r="B100" s="46">
        <f t="shared" si="1"/>
        <v>91</v>
      </c>
      <c r="C100" s="45" t="s">
        <v>22</v>
      </c>
      <c r="D100" s="38">
        <v>46093</v>
      </c>
      <c r="E100" s="36">
        <v>46098</v>
      </c>
      <c r="F100" s="37" t="s">
        <v>147</v>
      </c>
      <c r="G100" s="30" t="s">
        <v>911</v>
      </c>
      <c r="H100" s="28"/>
      <c r="I100" s="44" t="s">
        <v>912</v>
      </c>
      <c r="J100" s="31" t="s">
        <v>26</v>
      </c>
      <c r="K100" s="146" t="s">
        <v>9</v>
      </c>
      <c r="L100" s="31"/>
    </row>
    <row r="101" spans="2:12" ht="39">
      <c r="B101" s="46">
        <f t="shared" si="1"/>
        <v>92</v>
      </c>
      <c r="C101" s="45" t="s">
        <v>22</v>
      </c>
      <c r="D101" s="38">
        <v>46093</v>
      </c>
      <c r="E101" s="36">
        <v>46097</v>
      </c>
      <c r="F101" s="37" t="s">
        <v>147</v>
      </c>
      <c r="G101" s="30" t="s">
        <v>913</v>
      </c>
      <c r="H101" s="28"/>
      <c r="I101" s="44" t="s">
        <v>248</v>
      </c>
      <c r="J101" s="31" t="s">
        <v>26</v>
      </c>
      <c r="K101" s="146" t="s">
        <v>9</v>
      </c>
      <c r="L101" s="31"/>
    </row>
    <row r="102" spans="2:12" ht="156">
      <c r="B102" s="46">
        <f t="shared" si="1"/>
        <v>93</v>
      </c>
      <c r="C102" s="45" t="s">
        <v>22</v>
      </c>
      <c r="D102" s="38">
        <v>46093</v>
      </c>
      <c r="E102" s="36">
        <v>46097</v>
      </c>
      <c r="F102" s="37" t="s">
        <v>147</v>
      </c>
      <c r="G102" s="30" t="s">
        <v>914</v>
      </c>
      <c r="H102" s="28"/>
      <c r="I102" s="44" t="s">
        <v>915</v>
      </c>
      <c r="J102" s="31" t="s">
        <v>26</v>
      </c>
      <c r="K102" s="146" t="s">
        <v>9</v>
      </c>
      <c r="L102" s="31"/>
    </row>
    <row r="103" spans="2:12" ht="52">
      <c r="B103" s="46">
        <f t="shared" si="1"/>
        <v>94</v>
      </c>
      <c r="C103" s="45" t="s">
        <v>22</v>
      </c>
      <c r="D103" s="38">
        <v>46093</v>
      </c>
      <c r="E103" s="36">
        <v>46097</v>
      </c>
      <c r="F103" s="37" t="s">
        <v>147</v>
      </c>
      <c r="G103" s="30" t="s">
        <v>916</v>
      </c>
      <c r="H103" s="28"/>
      <c r="I103" s="44" t="s">
        <v>248</v>
      </c>
      <c r="J103" s="31" t="s">
        <v>917</v>
      </c>
      <c r="K103" s="146" t="s">
        <v>9</v>
      </c>
      <c r="L103" s="31"/>
    </row>
    <row r="104" spans="2:12" ht="52">
      <c r="B104" s="46">
        <f t="shared" si="1"/>
        <v>95</v>
      </c>
      <c r="C104" s="45" t="s">
        <v>22</v>
      </c>
      <c r="D104" s="38">
        <v>46093</v>
      </c>
      <c r="E104" s="36">
        <v>46101</v>
      </c>
      <c r="F104" s="37" t="s">
        <v>147</v>
      </c>
      <c r="G104" s="30" t="s">
        <v>918</v>
      </c>
      <c r="H104" s="28"/>
      <c r="I104" s="44" t="s">
        <v>919</v>
      </c>
      <c r="J104" s="31" t="s">
        <v>96</v>
      </c>
      <c r="K104" s="146" t="s">
        <v>9</v>
      </c>
      <c r="L104" s="31" t="s">
        <v>920</v>
      </c>
    </row>
    <row r="105" spans="2:12" ht="52">
      <c r="B105" s="46">
        <f t="shared" si="1"/>
        <v>96</v>
      </c>
      <c r="C105" s="45" t="s">
        <v>22</v>
      </c>
      <c r="D105" s="38">
        <v>46093</v>
      </c>
      <c r="E105" s="36">
        <v>46097</v>
      </c>
      <c r="F105" s="37" t="s">
        <v>147</v>
      </c>
      <c r="G105" s="30" t="s">
        <v>921</v>
      </c>
      <c r="H105" s="28"/>
      <c r="I105" s="44" t="s">
        <v>195</v>
      </c>
      <c r="J105" s="31" t="s">
        <v>26</v>
      </c>
      <c r="K105" s="146" t="s">
        <v>9</v>
      </c>
      <c r="L105" s="31"/>
    </row>
    <row r="106" spans="2:12" ht="78">
      <c r="B106" s="46">
        <f t="shared" si="1"/>
        <v>97</v>
      </c>
      <c r="C106" s="45" t="s">
        <v>22</v>
      </c>
      <c r="D106" s="38">
        <v>46093</v>
      </c>
      <c r="E106" s="36">
        <v>46097</v>
      </c>
      <c r="F106" s="37" t="s">
        <v>147</v>
      </c>
      <c r="G106" s="30" t="s">
        <v>922</v>
      </c>
      <c r="H106" s="28"/>
      <c r="I106" s="44" t="s">
        <v>923</v>
      </c>
      <c r="J106" s="31" t="s">
        <v>96</v>
      </c>
      <c r="K106" s="146" t="s">
        <v>9</v>
      </c>
      <c r="L106" s="31"/>
    </row>
    <row r="107" spans="2:12" ht="39">
      <c r="B107" s="46">
        <f t="shared" si="1"/>
        <v>98</v>
      </c>
      <c r="C107" s="45" t="s">
        <v>22</v>
      </c>
      <c r="D107" s="38">
        <v>46093</v>
      </c>
      <c r="E107" s="36">
        <v>46098</v>
      </c>
      <c r="F107" s="37" t="s">
        <v>147</v>
      </c>
      <c r="G107" s="30" t="s">
        <v>924</v>
      </c>
      <c r="H107" s="28"/>
      <c r="I107" s="44" t="s">
        <v>925</v>
      </c>
      <c r="J107" s="31" t="s">
        <v>26</v>
      </c>
      <c r="K107" s="146" t="s">
        <v>9</v>
      </c>
      <c r="L107" s="31" t="s">
        <v>158</v>
      </c>
    </row>
    <row r="108" spans="2:12" ht="39">
      <c r="B108" s="46">
        <f t="shared" si="1"/>
        <v>99</v>
      </c>
      <c r="C108" s="45" t="s">
        <v>22</v>
      </c>
      <c r="D108" s="38">
        <v>46093</v>
      </c>
      <c r="E108" s="36">
        <v>46098</v>
      </c>
      <c r="F108" s="37" t="s">
        <v>147</v>
      </c>
      <c r="G108" s="30" t="s">
        <v>926</v>
      </c>
      <c r="H108" s="28"/>
      <c r="I108" s="44" t="s">
        <v>927</v>
      </c>
      <c r="J108" s="31" t="s">
        <v>26</v>
      </c>
      <c r="K108" s="146" t="s">
        <v>9</v>
      </c>
      <c r="L108" s="31"/>
    </row>
    <row r="109" spans="2:12" ht="52">
      <c r="B109" s="46">
        <f t="shared" si="1"/>
        <v>100</v>
      </c>
      <c r="C109" s="45" t="s">
        <v>22</v>
      </c>
      <c r="D109" s="38">
        <v>46093</v>
      </c>
      <c r="E109" s="36">
        <v>46098</v>
      </c>
      <c r="F109" s="37" t="s">
        <v>147</v>
      </c>
      <c r="G109" s="30" t="s">
        <v>928</v>
      </c>
      <c r="H109" s="28"/>
      <c r="I109" s="44" t="s">
        <v>929</v>
      </c>
      <c r="J109" s="31" t="s">
        <v>26</v>
      </c>
      <c r="K109" s="146" t="s">
        <v>9</v>
      </c>
      <c r="L109" s="31"/>
    </row>
    <row r="110" spans="2:12" ht="39">
      <c r="B110" s="46">
        <f t="shared" si="1"/>
        <v>101</v>
      </c>
      <c r="C110" s="45" t="s">
        <v>22</v>
      </c>
      <c r="D110" s="38">
        <v>46093</v>
      </c>
      <c r="E110" s="36">
        <v>46098</v>
      </c>
      <c r="F110" s="37" t="s">
        <v>147</v>
      </c>
      <c r="G110" s="30" t="s">
        <v>930</v>
      </c>
      <c r="H110" s="28"/>
      <c r="I110" s="44" t="s">
        <v>195</v>
      </c>
      <c r="J110" s="31" t="s">
        <v>26</v>
      </c>
      <c r="K110" s="146" t="s">
        <v>9</v>
      </c>
      <c r="L110" s="31"/>
    </row>
    <row r="111" spans="2:12" ht="39">
      <c r="B111" s="46">
        <f t="shared" si="1"/>
        <v>102</v>
      </c>
      <c r="C111" s="45" t="s">
        <v>22</v>
      </c>
      <c r="D111" s="38">
        <v>46093</v>
      </c>
      <c r="E111" s="36">
        <v>46098</v>
      </c>
      <c r="F111" s="37" t="s">
        <v>147</v>
      </c>
      <c r="G111" s="30" t="s">
        <v>931</v>
      </c>
      <c r="H111" s="28"/>
      <c r="I111" s="44" t="s">
        <v>248</v>
      </c>
      <c r="J111" s="31" t="s">
        <v>26</v>
      </c>
      <c r="K111" s="146" t="s">
        <v>9</v>
      </c>
      <c r="L111" s="31"/>
    </row>
    <row r="112" spans="2:12" ht="104">
      <c r="B112" s="46">
        <f t="shared" si="1"/>
        <v>103</v>
      </c>
      <c r="C112" s="45" t="s">
        <v>22</v>
      </c>
      <c r="D112" s="38">
        <v>46093</v>
      </c>
      <c r="E112" s="36">
        <v>46097</v>
      </c>
      <c r="F112" s="37" t="s">
        <v>147</v>
      </c>
      <c r="G112" s="30" t="s">
        <v>932</v>
      </c>
      <c r="H112" s="28"/>
      <c r="I112" s="44" t="s">
        <v>933</v>
      </c>
      <c r="J112" s="31" t="s">
        <v>26</v>
      </c>
      <c r="K112" s="146" t="s">
        <v>9</v>
      </c>
      <c r="L112" s="31"/>
    </row>
    <row r="113" spans="2:12" ht="117">
      <c r="B113" s="46">
        <f t="shared" si="1"/>
        <v>104</v>
      </c>
      <c r="C113" s="45" t="s">
        <v>22</v>
      </c>
      <c r="D113" s="38">
        <v>46093</v>
      </c>
      <c r="E113" s="36">
        <v>46098</v>
      </c>
      <c r="F113" s="37" t="s">
        <v>147</v>
      </c>
      <c r="G113" s="30" t="s">
        <v>934</v>
      </c>
      <c r="H113" s="28"/>
      <c r="I113" s="44" t="s">
        <v>935</v>
      </c>
      <c r="J113" s="31" t="s">
        <v>26</v>
      </c>
      <c r="K113" s="146" t="s">
        <v>9</v>
      </c>
      <c r="L113" s="31"/>
    </row>
    <row r="114" spans="2:12" ht="130">
      <c r="B114" s="46">
        <f t="shared" si="1"/>
        <v>105</v>
      </c>
      <c r="C114" s="45" t="s">
        <v>22</v>
      </c>
      <c r="D114" s="38">
        <v>46093</v>
      </c>
      <c r="E114" s="36">
        <v>46097</v>
      </c>
      <c r="F114" s="37" t="s">
        <v>147</v>
      </c>
      <c r="G114" s="30" t="s">
        <v>936</v>
      </c>
      <c r="H114" s="28"/>
      <c r="I114" s="44" t="s">
        <v>937</v>
      </c>
      <c r="J114" s="31" t="s">
        <v>26</v>
      </c>
      <c r="K114" s="146" t="s">
        <v>9</v>
      </c>
      <c r="L114" s="31" t="s">
        <v>938</v>
      </c>
    </row>
    <row r="115" spans="2:12" ht="104">
      <c r="B115" s="46">
        <f t="shared" si="1"/>
        <v>106</v>
      </c>
      <c r="C115" s="45" t="s">
        <v>22</v>
      </c>
      <c r="D115" s="38">
        <v>46093</v>
      </c>
      <c r="E115" s="36">
        <v>46097</v>
      </c>
      <c r="F115" s="37" t="s">
        <v>147</v>
      </c>
      <c r="G115" s="30" t="s">
        <v>939</v>
      </c>
      <c r="H115" s="28"/>
      <c r="I115" s="44" t="s">
        <v>940</v>
      </c>
      <c r="J115" s="31" t="s">
        <v>26</v>
      </c>
      <c r="K115" s="146" t="s">
        <v>9</v>
      </c>
      <c r="L115" s="31" t="s">
        <v>941</v>
      </c>
    </row>
    <row r="116" spans="2:12" ht="52">
      <c r="B116" s="46">
        <f t="shared" si="1"/>
        <v>107</v>
      </c>
      <c r="C116" s="45" t="s">
        <v>22</v>
      </c>
      <c r="D116" s="38">
        <v>46093</v>
      </c>
      <c r="E116" s="36">
        <v>46097</v>
      </c>
      <c r="F116" s="37" t="s">
        <v>147</v>
      </c>
      <c r="G116" s="30" t="s">
        <v>942</v>
      </c>
      <c r="H116" s="28"/>
      <c r="I116" s="44" t="s">
        <v>943</v>
      </c>
      <c r="J116" s="31" t="s">
        <v>96</v>
      </c>
      <c r="K116" s="146" t="s">
        <v>9</v>
      </c>
      <c r="L116" s="31" t="s">
        <v>944</v>
      </c>
    </row>
    <row r="117" spans="2:12" ht="78">
      <c r="B117" s="46">
        <f t="shared" si="1"/>
        <v>108</v>
      </c>
      <c r="C117" s="45" t="s">
        <v>22</v>
      </c>
      <c r="D117" s="38">
        <v>46093</v>
      </c>
      <c r="E117" s="36">
        <v>46098</v>
      </c>
      <c r="F117" s="37" t="s">
        <v>147</v>
      </c>
      <c r="G117" s="30" t="s">
        <v>945</v>
      </c>
      <c r="H117" s="28"/>
      <c r="I117" s="44" t="s">
        <v>946</v>
      </c>
      <c r="J117" s="31" t="s">
        <v>26</v>
      </c>
      <c r="K117" s="146" t="s">
        <v>9</v>
      </c>
      <c r="L117" s="31"/>
    </row>
    <row r="118" spans="2:12" ht="39">
      <c r="B118" s="46">
        <f t="shared" si="1"/>
        <v>109</v>
      </c>
      <c r="C118" s="45" t="s">
        <v>22</v>
      </c>
      <c r="D118" s="38">
        <v>46093</v>
      </c>
      <c r="E118" s="36">
        <v>46097</v>
      </c>
      <c r="F118" s="37" t="s">
        <v>147</v>
      </c>
      <c r="G118" s="30" t="s">
        <v>947</v>
      </c>
      <c r="H118" s="28"/>
      <c r="I118" s="44" t="s">
        <v>195</v>
      </c>
      <c r="J118" s="31" t="s">
        <v>26</v>
      </c>
      <c r="K118" s="146" t="s">
        <v>9</v>
      </c>
      <c r="L118" s="31"/>
    </row>
    <row r="119" spans="2:12" ht="117">
      <c r="B119" s="46">
        <f t="shared" si="1"/>
        <v>110</v>
      </c>
      <c r="C119" s="45" t="s">
        <v>22</v>
      </c>
      <c r="D119" s="38">
        <v>46093</v>
      </c>
      <c r="E119" s="36">
        <v>46097</v>
      </c>
      <c r="F119" s="37" t="s">
        <v>147</v>
      </c>
      <c r="G119" s="30" t="s">
        <v>948</v>
      </c>
      <c r="H119" s="28"/>
      <c r="I119" s="44" t="s">
        <v>949</v>
      </c>
      <c r="J119" s="31" t="s">
        <v>26</v>
      </c>
      <c r="K119" s="146" t="s">
        <v>9</v>
      </c>
      <c r="L119" s="31" t="s">
        <v>174</v>
      </c>
    </row>
    <row r="120" spans="2:12" ht="26">
      <c r="B120" s="46">
        <f t="shared" si="1"/>
        <v>111</v>
      </c>
      <c r="C120" s="45" t="s">
        <v>22</v>
      </c>
      <c r="D120" s="38">
        <v>46093</v>
      </c>
      <c r="E120" s="36">
        <v>46098</v>
      </c>
      <c r="F120" s="37" t="s">
        <v>147</v>
      </c>
      <c r="G120" s="30" t="s">
        <v>950</v>
      </c>
      <c r="H120" s="28"/>
      <c r="I120" s="44" t="s">
        <v>248</v>
      </c>
      <c r="J120" s="31" t="s">
        <v>26</v>
      </c>
      <c r="K120" s="146" t="s">
        <v>9</v>
      </c>
      <c r="L120" s="31"/>
    </row>
    <row r="121" spans="2:12" ht="52">
      <c r="B121" s="46">
        <f t="shared" si="1"/>
        <v>112</v>
      </c>
      <c r="C121" s="45" t="s">
        <v>22</v>
      </c>
      <c r="D121" s="38">
        <v>46093</v>
      </c>
      <c r="E121" s="36">
        <v>46098</v>
      </c>
      <c r="F121" s="37" t="s">
        <v>147</v>
      </c>
      <c r="G121" s="30" t="s">
        <v>951</v>
      </c>
      <c r="H121" s="28"/>
      <c r="I121" s="44" t="s">
        <v>952</v>
      </c>
      <c r="J121" s="31" t="s">
        <v>26</v>
      </c>
      <c r="K121" s="146" t="s">
        <v>9</v>
      </c>
      <c r="L121" s="31"/>
    </row>
    <row r="122" spans="2:12" ht="39">
      <c r="B122" s="46">
        <f t="shared" si="1"/>
        <v>113</v>
      </c>
      <c r="C122" s="45" t="s">
        <v>22</v>
      </c>
      <c r="D122" s="38">
        <v>46093</v>
      </c>
      <c r="E122" s="36">
        <v>46098</v>
      </c>
      <c r="F122" s="37" t="s">
        <v>147</v>
      </c>
      <c r="G122" s="30" t="s">
        <v>953</v>
      </c>
      <c r="H122" s="28"/>
      <c r="I122" s="44" t="s">
        <v>884</v>
      </c>
      <c r="J122" s="31" t="s">
        <v>26</v>
      </c>
      <c r="K122" s="146" t="s">
        <v>9</v>
      </c>
      <c r="L122" s="31" t="s">
        <v>873</v>
      </c>
    </row>
    <row r="123" spans="2:12" ht="26">
      <c r="B123" s="46">
        <f t="shared" si="1"/>
        <v>114</v>
      </c>
      <c r="C123" s="45" t="s">
        <v>22</v>
      </c>
      <c r="D123" s="38">
        <v>46093</v>
      </c>
      <c r="E123" s="36">
        <v>46097</v>
      </c>
      <c r="F123" s="37" t="s">
        <v>147</v>
      </c>
      <c r="G123" s="30" t="s">
        <v>954</v>
      </c>
      <c r="H123" s="28"/>
      <c r="I123" s="44" t="s">
        <v>199</v>
      </c>
      <c r="J123" s="31" t="s">
        <v>26</v>
      </c>
      <c r="K123" s="146" t="s">
        <v>9</v>
      </c>
      <c r="L123" s="31"/>
    </row>
    <row r="124" spans="2:12" ht="39">
      <c r="B124" s="46">
        <f t="shared" si="1"/>
        <v>115</v>
      </c>
      <c r="C124" s="45" t="s">
        <v>22</v>
      </c>
      <c r="D124" s="38">
        <v>46093</v>
      </c>
      <c r="E124" s="36">
        <v>46097</v>
      </c>
      <c r="F124" s="37" t="s">
        <v>147</v>
      </c>
      <c r="G124" s="30" t="s">
        <v>955</v>
      </c>
      <c r="H124" s="28"/>
      <c r="I124" s="44" t="s">
        <v>248</v>
      </c>
      <c r="J124" s="31" t="s">
        <v>26</v>
      </c>
      <c r="K124" s="146" t="s">
        <v>9</v>
      </c>
      <c r="L124" s="31"/>
    </row>
    <row r="125" spans="2:12" ht="52">
      <c r="B125" s="46">
        <f t="shared" si="1"/>
        <v>116</v>
      </c>
      <c r="C125" s="45" t="s">
        <v>22</v>
      </c>
      <c r="D125" s="38">
        <v>46093</v>
      </c>
      <c r="E125" s="36">
        <v>46097</v>
      </c>
      <c r="F125" s="37" t="s">
        <v>147</v>
      </c>
      <c r="G125" s="30" t="s">
        <v>956</v>
      </c>
      <c r="H125" s="28"/>
      <c r="I125" s="44" t="s">
        <v>248</v>
      </c>
      <c r="J125" s="31" t="s">
        <v>26</v>
      </c>
      <c r="K125" s="146" t="s">
        <v>9</v>
      </c>
      <c r="L125" s="31"/>
    </row>
    <row r="126" spans="2:12" ht="26">
      <c r="B126" s="46">
        <f t="shared" si="1"/>
        <v>117</v>
      </c>
      <c r="C126" s="45" t="s">
        <v>22</v>
      </c>
      <c r="D126" s="38">
        <v>46093</v>
      </c>
      <c r="E126" s="36">
        <v>46097</v>
      </c>
      <c r="F126" s="37" t="s">
        <v>147</v>
      </c>
      <c r="G126" s="30" t="s">
        <v>957</v>
      </c>
      <c r="H126" s="28"/>
      <c r="I126" s="44" t="s">
        <v>891</v>
      </c>
      <c r="J126" s="31" t="s">
        <v>26</v>
      </c>
      <c r="K126" s="146" t="s">
        <v>9</v>
      </c>
      <c r="L126" s="31" t="s">
        <v>416</v>
      </c>
    </row>
    <row r="127" spans="2:12" ht="28.5">
      <c r="B127" s="46">
        <f t="shared" si="1"/>
        <v>118</v>
      </c>
      <c r="C127" s="45" t="s">
        <v>22</v>
      </c>
      <c r="D127" s="38">
        <v>46093</v>
      </c>
      <c r="E127" s="36">
        <v>46097</v>
      </c>
      <c r="F127" s="37" t="s">
        <v>147</v>
      </c>
      <c r="G127" s="30" t="s">
        <v>958</v>
      </c>
      <c r="H127" s="28"/>
      <c r="I127" s="44" t="s">
        <v>959</v>
      </c>
      <c r="J127" s="31" t="s">
        <v>26</v>
      </c>
      <c r="K127" s="146" t="s">
        <v>9</v>
      </c>
      <c r="L127" s="31"/>
    </row>
    <row r="128" spans="2:12" ht="26">
      <c r="B128" s="46">
        <f t="shared" si="1"/>
        <v>119</v>
      </c>
      <c r="C128" s="45" t="s">
        <v>22</v>
      </c>
      <c r="D128" s="38">
        <v>46093</v>
      </c>
      <c r="E128" s="36">
        <v>46097</v>
      </c>
      <c r="F128" s="37" t="s">
        <v>147</v>
      </c>
      <c r="G128" s="30" t="s">
        <v>960</v>
      </c>
      <c r="H128" s="28"/>
      <c r="I128" s="44" t="s">
        <v>891</v>
      </c>
      <c r="J128" s="31" t="s">
        <v>26</v>
      </c>
      <c r="K128" s="146" t="s">
        <v>9</v>
      </c>
      <c r="L128" s="31" t="s">
        <v>416</v>
      </c>
    </row>
    <row r="129" spans="2:12" ht="26">
      <c r="B129" s="46">
        <f t="shared" si="1"/>
        <v>120</v>
      </c>
      <c r="C129" s="45" t="s">
        <v>22</v>
      </c>
      <c r="D129" s="38">
        <v>46093</v>
      </c>
      <c r="E129" s="36">
        <v>46098</v>
      </c>
      <c r="F129" s="37" t="s">
        <v>147</v>
      </c>
      <c r="G129" s="30" t="s">
        <v>961</v>
      </c>
      <c r="H129" s="28"/>
      <c r="I129" s="44" t="s">
        <v>248</v>
      </c>
      <c r="J129" s="31" t="s">
        <v>26</v>
      </c>
      <c r="K129" s="146" t="s">
        <v>9</v>
      </c>
      <c r="L129" s="31"/>
    </row>
    <row r="130" spans="2:12" ht="26">
      <c r="B130" s="46">
        <f t="shared" si="1"/>
        <v>121</v>
      </c>
      <c r="C130" s="45" t="s">
        <v>22</v>
      </c>
      <c r="D130" s="38">
        <v>46093</v>
      </c>
      <c r="E130" s="36">
        <v>46097</v>
      </c>
      <c r="F130" s="37" t="s">
        <v>147</v>
      </c>
      <c r="G130" s="30" t="s">
        <v>962</v>
      </c>
      <c r="H130" s="28"/>
      <c r="I130" s="44" t="s">
        <v>943</v>
      </c>
      <c r="J130" s="31" t="s">
        <v>26</v>
      </c>
      <c r="K130" s="146" t="s">
        <v>9</v>
      </c>
      <c r="L130" s="31" t="s">
        <v>944</v>
      </c>
    </row>
    <row r="131" spans="2:12" ht="52">
      <c r="B131" s="46">
        <f t="shared" si="1"/>
        <v>122</v>
      </c>
      <c r="C131" s="45" t="s">
        <v>22</v>
      </c>
      <c r="D131" s="38">
        <v>46093</v>
      </c>
      <c r="E131" s="36">
        <v>46098</v>
      </c>
      <c r="F131" s="37" t="s">
        <v>147</v>
      </c>
      <c r="G131" s="30" t="s">
        <v>963</v>
      </c>
      <c r="H131" s="28"/>
      <c r="I131" s="44" t="s">
        <v>964</v>
      </c>
      <c r="J131" s="31" t="s">
        <v>26</v>
      </c>
      <c r="K131" s="146" t="s">
        <v>9</v>
      </c>
      <c r="L131" s="31" t="s">
        <v>965</v>
      </c>
    </row>
    <row r="132" spans="2:12" ht="52">
      <c r="B132" s="46">
        <f t="shared" si="1"/>
        <v>123</v>
      </c>
      <c r="C132" s="45" t="s">
        <v>22</v>
      </c>
      <c r="D132" s="38">
        <v>46093</v>
      </c>
      <c r="E132" s="36">
        <v>46097</v>
      </c>
      <c r="F132" s="37" t="s">
        <v>147</v>
      </c>
      <c r="G132" s="30" t="s">
        <v>966</v>
      </c>
      <c r="H132" s="28"/>
      <c r="I132" s="44" t="s">
        <v>915</v>
      </c>
      <c r="J132" s="31" t="s">
        <v>26</v>
      </c>
      <c r="K132" s="146" t="s">
        <v>9</v>
      </c>
      <c r="L132" s="31"/>
    </row>
    <row r="133" spans="2:12" ht="39">
      <c r="B133" s="46">
        <f t="shared" si="1"/>
        <v>124</v>
      </c>
      <c r="C133" s="45" t="s">
        <v>22</v>
      </c>
      <c r="D133" s="38">
        <v>46093</v>
      </c>
      <c r="E133" s="36">
        <v>46098</v>
      </c>
      <c r="F133" s="37" t="s">
        <v>147</v>
      </c>
      <c r="G133" s="30" t="s">
        <v>967</v>
      </c>
      <c r="H133" s="28"/>
      <c r="I133" s="44" t="s">
        <v>248</v>
      </c>
      <c r="J133" s="31" t="s">
        <v>26</v>
      </c>
      <c r="K133" s="146" t="s">
        <v>9</v>
      </c>
      <c r="L133" s="31"/>
    </row>
    <row r="134" spans="2:12" ht="26">
      <c r="B134" s="46">
        <f t="shared" si="1"/>
        <v>125</v>
      </c>
      <c r="C134" s="45" t="s">
        <v>22</v>
      </c>
      <c r="D134" s="38">
        <v>46093</v>
      </c>
      <c r="E134" s="36">
        <v>46098</v>
      </c>
      <c r="F134" s="37" t="s">
        <v>147</v>
      </c>
      <c r="G134" s="30" t="s">
        <v>968</v>
      </c>
      <c r="H134" s="28"/>
      <c r="I134" s="44" t="s">
        <v>969</v>
      </c>
      <c r="J134" s="31" t="s">
        <v>96</v>
      </c>
      <c r="K134" s="146" t="s">
        <v>9</v>
      </c>
      <c r="L134" s="31" t="s">
        <v>629</v>
      </c>
    </row>
    <row r="135" spans="2:12" ht="65">
      <c r="B135" s="46">
        <f t="shared" si="1"/>
        <v>126</v>
      </c>
      <c r="C135" s="45" t="s">
        <v>22</v>
      </c>
      <c r="D135" s="38">
        <v>46093</v>
      </c>
      <c r="E135" s="36">
        <v>46098</v>
      </c>
      <c r="F135" s="37" t="s">
        <v>147</v>
      </c>
      <c r="G135" s="30" t="s">
        <v>970</v>
      </c>
      <c r="H135" s="28"/>
      <c r="I135" s="44" t="s">
        <v>971</v>
      </c>
      <c r="J135" s="31" t="s">
        <v>96</v>
      </c>
      <c r="K135" s="146" t="s">
        <v>9</v>
      </c>
      <c r="L135" s="31" t="s">
        <v>972</v>
      </c>
    </row>
    <row r="136" spans="2:12" ht="26">
      <c r="B136" s="46">
        <f t="shared" si="1"/>
        <v>127</v>
      </c>
      <c r="C136" s="45" t="s">
        <v>22</v>
      </c>
      <c r="D136" s="38">
        <v>46093</v>
      </c>
      <c r="E136" s="36">
        <v>46097</v>
      </c>
      <c r="F136" s="37" t="s">
        <v>147</v>
      </c>
      <c r="G136" s="30" t="s">
        <v>973</v>
      </c>
      <c r="H136" s="28"/>
      <c r="I136" s="44" t="s">
        <v>974</v>
      </c>
      <c r="J136" s="31" t="s">
        <v>26</v>
      </c>
      <c r="K136" s="146" t="s">
        <v>9</v>
      </c>
      <c r="L136" s="31" t="s">
        <v>471</v>
      </c>
    </row>
    <row r="137" spans="2:12" ht="26">
      <c r="B137" s="46">
        <f t="shared" si="1"/>
        <v>128</v>
      </c>
      <c r="C137" s="45" t="s">
        <v>22</v>
      </c>
      <c r="D137" s="38">
        <v>46093</v>
      </c>
      <c r="E137" s="36">
        <v>46097</v>
      </c>
      <c r="F137" s="37" t="s">
        <v>147</v>
      </c>
      <c r="G137" s="30" t="s">
        <v>975</v>
      </c>
      <c r="H137" s="28"/>
      <c r="I137" s="44" t="s">
        <v>462</v>
      </c>
      <c r="J137" s="31" t="s">
        <v>96</v>
      </c>
      <c r="K137" s="146" t="s">
        <v>9</v>
      </c>
      <c r="L137" s="31" t="s">
        <v>462</v>
      </c>
    </row>
    <row r="138" spans="2:12" ht="52">
      <c r="B138" s="46">
        <f t="shared" si="1"/>
        <v>129</v>
      </c>
      <c r="C138" s="45" t="s">
        <v>22</v>
      </c>
      <c r="D138" s="38">
        <v>46093</v>
      </c>
      <c r="E138" s="36">
        <v>46097</v>
      </c>
      <c r="F138" s="37" t="s">
        <v>147</v>
      </c>
      <c r="G138" s="30" t="s">
        <v>976</v>
      </c>
      <c r="H138" s="28"/>
      <c r="I138" s="44" t="s">
        <v>977</v>
      </c>
      <c r="J138" s="31" t="s">
        <v>96</v>
      </c>
      <c r="K138" s="146" t="s">
        <v>9</v>
      </c>
      <c r="L138" s="31"/>
    </row>
    <row r="139" spans="2:12" ht="26">
      <c r="B139" s="46">
        <f t="shared" si="1"/>
        <v>130</v>
      </c>
      <c r="C139" s="45" t="s">
        <v>22</v>
      </c>
      <c r="D139" s="38">
        <v>46093</v>
      </c>
      <c r="E139" s="36">
        <v>46097</v>
      </c>
      <c r="F139" s="37" t="s">
        <v>147</v>
      </c>
      <c r="G139" s="30" t="s">
        <v>978</v>
      </c>
      <c r="H139" s="28"/>
      <c r="I139" s="44" t="s">
        <v>979</v>
      </c>
      <c r="J139" s="31" t="s">
        <v>26</v>
      </c>
      <c r="K139" s="146" t="s">
        <v>9</v>
      </c>
      <c r="L139" s="31" t="s">
        <v>980</v>
      </c>
    </row>
    <row r="140" spans="2:12" ht="39">
      <c r="B140" s="46">
        <f t="shared" ref="B140:B160" si="2">B139+1</f>
        <v>131</v>
      </c>
      <c r="C140" s="45" t="s">
        <v>22</v>
      </c>
      <c r="D140" s="38">
        <v>46093</v>
      </c>
      <c r="E140" s="36">
        <v>46101</v>
      </c>
      <c r="F140" s="37" t="s">
        <v>147</v>
      </c>
      <c r="G140" s="30" t="s">
        <v>981</v>
      </c>
      <c r="H140" s="28"/>
      <c r="I140" s="44" t="s">
        <v>982</v>
      </c>
      <c r="J140" s="31" t="s">
        <v>96</v>
      </c>
      <c r="K140" s="146" t="s">
        <v>9</v>
      </c>
      <c r="L140" s="31"/>
    </row>
    <row r="141" spans="2:12" ht="52">
      <c r="B141" s="46">
        <f t="shared" si="2"/>
        <v>132</v>
      </c>
      <c r="C141" s="45" t="s">
        <v>22</v>
      </c>
      <c r="D141" s="38">
        <v>46093</v>
      </c>
      <c r="E141" s="36">
        <v>46097</v>
      </c>
      <c r="F141" s="37" t="s">
        <v>147</v>
      </c>
      <c r="G141" s="30" t="s">
        <v>983</v>
      </c>
      <c r="H141" s="28"/>
      <c r="I141" s="44" t="s">
        <v>984</v>
      </c>
      <c r="J141" s="31" t="s">
        <v>26</v>
      </c>
      <c r="K141" s="146" t="s">
        <v>9</v>
      </c>
      <c r="L141" s="31" t="s">
        <v>985</v>
      </c>
    </row>
    <row r="142" spans="2:12" ht="52">
      <c r="B142" s="46">
        <f t="shared" si="2"/>
        <v>133</v>
      </c>
      <c r="C142" s="45" t="s">
        <v>22</v>
      </c>
      <c r="D142" s="38">
        <v>46093</v>
      </c>
      <c r="E142" s="36">
        <v>46098</v>
      </c>
      <c r="F142" s="37" t="s">
        <v>147</v>
      </c>
      <c r="G142" s="30" t="s">
        <v>986</v>
      </c>
      <c r="H142" s="28"/>
      <c r="I142" s="44" t="s">
        <v>987</v>
      </c>
      <c r="J142" s="31" t="s">
        <v>96</v>
      </c>
      <c r="K142" s="146" t="s">
        <v>9</v>
      </c>
      <c r="L142" s="31"/>
    </row>
    <row r="143" spans="2:12" ht="26">
      <c r="B143" s="46">
        <f t="shared" si="2"/>
        <v>134</v>
      </c>
      <c r="C143" s="45" t="s">
        <v>22</v>
      </c>
      <c r="D143" s="38">
        <v>46093</v>
      </c>
      <c r="E143" s="36">
        <v>46097</v>
      </c>
      <c r="F143" s="37" t="s">
        <v>147</v>
      </c>
      <c r="G143" s="30" t="s">
        <v>988</v>
      </c>
      <c r="H143" s="28"/>
      <c r="I143" s="44" t="s">
        <v>989</v>
      </c>
      <c r="J143" s="31" t="s">
        <v>26</v>
      </c>
      <c r="K143" s="146" t="s">
        <v>9</v>
      </c>
      <c r="L143" s="31" t="s">
        <v>985</v>
      </c>
    </row>
    <row r="144" spans="2:12" ht="78">
      <c r="B144" s="46">
        <f t="shared" si="2"/>
        <v>135</v>
      </c>
      <c r="C144" s="45" t="s">
        <v>22</v>
      </c>
      <c r="D144" s="38">
        <v>46093</v>
      </c>
      <c r="E144" s="36">
        <v>46101</v>
      </c>
      <c r="F144" s="37" t="s">
        <v>147</v>
      </c>
      <c r="G144" s="30" t="s">
        <v>990</v>
      </c>
      <c r="H144" s="28"/>
      <c r="I144" s="44" t="s">
        <v>991</v>
      </c>
      <c r="J144" s="31" t="s">
        <v>96</v>
      </c>
      <c r="K144" s="146" t="s">
        <v>9</v>
      </c>
      <c r="L144" s="31" t="s">
        <v>992</v>
      </c>
    </row>
    <row r="145" spans="2:12" ht="78">
      <c r="B145" s="46">
        <f t="shared" si="2"/>
        <v>136</v>
      </c>
      <c r="C145" s="45" t="s">
        <v>22</v>
      </c>
      <c r="D145" s="38">
        <v>46093</v>
      </c>
      <c r="E145" s="36">
        <v>46098</v>
      </c>
      <c r="F145" s="37" t="s">
        <v>147</v>
      </c>
      <c r="G145" s="30" t="s">
        <v>993</v>
      </c>
      <c r="H145" s="28"/>
      <c r="I145" s="44" t="s">
        <v>994</v>
      </c>
      <c r="J145" s="31" t="s">
        <v>96</v>
      </c>
      <c r="K145" s="146" t="s">
        <v>9</v>
      </c>
      <c r="L145" s="31" t="s">
        <v>995</v>
      </c>
    </row>
    <row r="146" spans="2:12" ht="26">
      <c r="B146" s="46">
        <f t="shared" si="2"/>
        <v>137</v>
      </c>
      <c r="C146" s="45" t="s">
        <v>22</v>
      </c>
      <c r="D146" s="38">
        <v>46093</v>
      </c>
      <c r="E146" s="36">
        <v>46098</v>
      </c>
      <c r="F146" s="37" t="s">
        <v>147</v>
      </c>
      <c r="G146" s="30" t="s">
        <v>996</v>
      </c>
      <c r="H146" s="28"/>
      <c r="I146" s="44" t="s">
        <v>855</v>
      </c>
      <c r="J146" s="31" t="s">
        <v>96</v>
      </c>
      <c r="K146" s="146" t="s">
        <v>9</v>
      </c>
      <c r="L146" s="31"/>
    </row>
    <row r="147" spans="2:12" ht="52">
      <c r="B147" s="46">
        <f t="shared" si="2"/>
        <v>138</v>
      </c>
      <c r="C147" s="45" t="s">
        <v>22</v>
      </c>
      <c r="D147" s="38">
        <v>46093</v>
      </c>
      <c r="E147" s="36">
        <v>46098</v>
      </c>
      <c r="F147" s="37" t="s">
        <v>147</v>
      </c>
      <c r="G147" s="30" t="s">
        <v>997</v>
      </c>
      <c r="H147" s="28"/>
      <c r="I147" s="44" t="s">
        <v>998</v>
      </c>
      <c r="J147" s="31" t="s">
        <v>26</v>
      </c>
      <c r="K147" s="146" t="s">
        <v>9</v>
      </c>
      <c r="L147" s="31"/>
    </row>
    <row r="148" spans="2:12" ht="26">
      <c r="B148" s="46">
        <f t="shared" si="2"/>
        <v>139</v>
      </c>
      <c r="C148" s="45" t="s">
        <v>22</v>
      </c>
      <c r="D148" s="38">
        <v>46093</v>
      </c>
      <c r="E148" s="36">
        <v>46098</v>
      </c>
      <c r="F148" s="37" t="s">
        <v>147</v>
      </c>
      <c r="G148" s="30" t="s">
        <v>999</v>
      </c>
      <c r="H148" s="28"/>
      <c r="I148" s="44" t="s">
        <v>1000</v>
      </c>
      <c r="J148" s="31" t="s">
        <v>96</v>
      </c>
      <c r="K148" s="146" t="s">
        <v>9</v>
      </c>
      <c r="L148" s="31" t="s">
        <v>972</v>
      </c>
    </row>
    <row r="149" spans="2:12" ht="26">
      <c r="B149" s="46">
        <f t="shared" si="2"/>
        <v>140</v>
      </c>
      <c r="C149" s="45" t="s">
        <v>22</v>
      </c>
      <c r="D149" s="38">
        <v>46093</v>
      </c>
      <c r="E149" s="36">
        <v>46098</v>
      </c>
      <c r="F149" s="37" t="s">
        <v>147</v>
      </c>
      <c r="G149" s="30" t="s">
        <v>1001</v>
      </c>
      <c r="H149" s="28"/>
      <c r="I149" s="44" t="s">
        <v>1002</v>
      </c>
      <c r="J149" s="31" t="s">
        <v>26</v>
      </c>
      <c r="K149" s="146" t="s">
        <v>9</v>
      </c>
      <c r="L149" s="31" t="s">
        <v>468</v>
      </c>
    </row>
    <row r="150" spans="2:12" ht="65">
      <c r="B150" s="46">
        <f t="shared" si="2"/>
        <v>141</v>
      </c>
      <c r="C150" s="45" t="s">
        <v>22</v>
      </c>
      <c r="D150" s="38">
        <v>46093</v>
      </c>
      <c r="E150" s="36">
        <v>46097</v>
      </c>
      <c r="F150" s="37" t="s">
        <v>147</v>
      </c>
      <c r="G150" s="30" t="s">
        <v>1003</v>
      </c>
      <c r="H150" s="28"/>
      <c r="I150" s="44" t="s">
        <v>1004</v>
      </c>
      <c r="J150" s="31" t="s">
        <v>96</v>
      </c>
      <c r="K150" s="146" t="s">
        <v>9</v>
      </c>
      <c r="L150" s="31" t="s">
        <v>1005</v>
      </c>
    </row>
    <row r="151" spans="2:12" ht="91">
      <c r="B151" s="46">
        <f t="shared" si="2"/>
        <v>142</v>
      </c>
      <c r="C151" s="45" t="s">
        <v>22</v>
      </c>
      <c r="D151" s="38">
        <v>46093</v>
      </c>
      <c r="E151" s="36">
        <v>46098</v>
      </c>
      <c r="F151" s="37" t="s">
        <v>147</v>
      </c>
      <c r="G151" s="30" t="s">
        <v>1006</v>
      </c>
      <c r="H151" s="28"/>
      <c r="I151" s="44" t="s">
        <v>1007</v>
      </c>
      <c r="J151" s="31" t="s">
        <v>96</v>
      </c>
      <c r="K151" s="146" t="s">
        <v>9</v>
      </c>
      <c r="L151" s="31"/>
    </row>
    <row r="152" spans="2:12" ht="26">
      <c r="B152" s="46">
        <f t="shared" si="2"/>
        <v>143</v>
      </c>
      <c r="C152" s="45" t="s">
        <v>22</v>
      </c>
      <c r="D152" s="38">
        <v>46093</v>
      </c>
      <c r="E152" s="36">
        <v>46097</v>
      </c>
      <c r="F152" s="37" t="s">
        <v>147</v>
      </c>
      <c r="G152" s="30" t="s">
        <v>1008</v>
      </c>
      <c r="H152" s="28"/>
      <c r="I152" s="44" t="s">
        <v>1009</v>
      </c>
      <c r="J152" s="31" t="s">
        <v>96</v>
      </c>
      <c r="K152" s="146" t="s">
        <v>9</v>
      </c>
      <c r="L152" s="31"/>
    </row>
    <row r="153" spans="2:12" ht="52">
      <c r="B153" s="46">
        <f t="shared" si="2"/>
        <v>144</v>
      </c>
      <c r="C153" s="45" t="s">
        <v>22</v>
      </c>
      <c r="D153" s="38">
        <v>46093</v>
      </c>
      <c r="E153" s="36">
        <v>46098</v>
      </c>
      <c r="F153" s="37" t="s">
        <v>147</v>
      </c>
      <c r="G153" s="30" t="s">
        <v>1010</v>
      </c>
      <c r="H153" s="28"/>
      <c r="I153" s="44" t="s">
        <v>195</v>
      </c>
      <c r="J153" s="31" t="s">
        <v>26</v>
      </c>
      <c r="K153" s="146" t="s">
        <v>9</v>
      </c>
      <c r="L153" s="31"/>
    </row>
    <row r="154" spans="2:12" ht="91">
      <c r="B154" s="46">
        <f t="shared" si="2"/>
        <v>145</v>
      </c>
      <c r="C154" s="45" t="s">
        <v>22</v>
      </c>
      <c r="D154" s="38">
        <v>46093</v>
      </c>
      <c r="E154" s="36">
        <v>46097</v>
      </c>
      <c r="F154" s="37" t="s">
        <v>147</v>
      </c>
      <c r="G154" s="30" t="s">
        <v>1011</v>
      </c>
      <c r="H154" s="28"/>
      <c r="I154" s="44" t="s">
        <v>1012</v>
      </c>
      <c r="J154" s="31" t="s">
        <v>96</v>
      </c>
      <c r="K154" s="146" t="s">
        <v>9</v>
      </c>
      <c r="L154" s="31" t="s">
        <v>759</v>
      </c>
    </row>
    <row r="155" spans="2:12" ht="52">
      <c r="B155" s="46">
        <f t="shared" si="2"/>
        <v>146</v>
      </c>
      <c r="C155" s="45" t="s">
        <v>22</v>
      </c>
      <c r="D155" s="38">
        <v>46093</v>
      </c>
      <c r="E155" s="36">
        <v>46098</v>
      </c>
      <c r="F155" s="37" t="s">
        <v>147</v>
      </c>
      <c r="G155" s="30" t="s">
        <v>1013</v>
      </c>
      <c r="H155" s="28"/>
      <c r="I155" s="44" t="s">
        <v>1014</v>
      </c>
      <c r="J155" s="31" t="s">
        <v>96</v>
      </c>
      <c r="K155" s="146" t="s">
        <v>9</v>
      </c>
      <c r="L155" s="31"/>
    </row>
    <row r="156" spans="2:12" ht="26">
      <c r="B156" s="46">
        <f t="shared" si="2"/>
        <v>147</v>
      </c>
      <c r="C156" s="45" t="s">
        <v>22</v>
      </c>
      <c r="D156" s="38">
        <v>46093</v>
      </c>
      <c r="E156" s="36">
        <v>46097</v>
      </c>
      <c r="F156" s="37" t="s">
        <v>147</v>
      </c>
      <c r="G156" s="30" t="s">
        <v>1015</v>
      </c>
      <c r="H156" s="28"/>
      <c r="I156" s="44" t="s">
        <v>758</v>
      </c>
      <c r="J156" s="31" t="s">
        <v>26</v>
      </c>
      <c r="K156" s="146" t="s">
        <v>9</v>
      </c>
      <c r="L156" s="31" t="s">
        <v>759</v>
      </c>
    </row>
    <row r="157" spans="2:12">
      <c r="B157" s="46">
        <f t="shared" si="2"/>
        <v>148</v>
      </c>
      <c r="C157" s="45" t="s">
        <v>22</v>
      </c>
      <c r="D157" s="38">
        <v>46093</v>
      </c>
      <c r="E157" s="36">
        <v>46098</v>
      </c>
      <c r="F157" s="37" t="s">
        <v>147</v>
      </c>
      <c r="G157" s="30" t="s">
        <v>1016</v>
      </c>
      <c r="H157" s="28"/>
      <c r="I157" s="44" t="s">
        <v>1017</v>
      </c>
      <c r="J157" s="31" t="s">
        <v>96</v>
      </c>
      <c r="K157" s="146" t="s">
        <v>9</v>
      </c>
      <c r="L157" s="31" t="s">
        <v>972</v>
      </c>
    </row>
    <row r="158" spans="2:12" ht="39">
      <c r="B158" s="46">
        <f t="shared" si="2"/>
        <v>149</v>
      </c>
      <c r="C158" s="45" t="s">
        <v>22</v>
      </c>
      <c r="D158" s="38">
        <v>46093</v>
      </c>
      <c r="E158" s="36">
        <v>46097</v>
      </c>
      <c r="F158" s="37" t="s">
        <v>147</v>
      </c>
      <c r="G158" s="30" t="s">
        <v>1018</v>
      </c>
      <c r="H158" s="28"/>
      <c r="I158" s="44" t="s">
        <v>1019</v>
      </c>
      <c r="J158" s="31" t="s">
        <v>96</v>
      </c>
      <c r="K158" s="146" t="s">
        <v>9</v>
      </c>
      <c r="L158" s="31" t="s">
        <v>944</v>
      </c>
    </row>
    <row r="159" spans="2:12" ht="130">
      <c r="B159" s="46">
        <f t="shared" si="2"/>
        <v>150</v>
      </c>
      <c r="C159" s="45" t="s">
        <v>22</v>
      </c>
      <c r="D159" s="38">
        <v>46093</v>
      </c>
      <c r="E159" s="36">
        <v>46098</v>
      </c>
      <c r="F159" s="37" t="s">
        <v>147</v>
      </c>
      <c r="G159" s="30" t="s">
        <v>1020</v>
      </c>
      <c r="H159" s="28"/>
      <c r="I159" s="44" t="s">
        <v>1021</v>
      </c>
      <c r="J159" s="31" t="s">
        <v>26</v>
      </c>
      <c r="K159" s="146" t="s">
        <v>9</v>
      </c>
      <c r="L159" s="31"/>
    </row>
    <row r="160" spans="2:12" ht="182">
      <c r="B160" s="46">
        <f t="shared" si="2"/>
        <v>151</v>
      </c>
      <c r="C160" s="45" t="s">
        <v>22</v>
      </c>
      <c r="D160" s="38">
        <v>46093</v>
      </c>
      <c r="E160" s="36">
        <v>46098</v>
      </c>
      <c r="F160" s="37" t="s">
        <v>147</v>
      </c>
      <c r="G160" s="30" t="s">
        <v>1022</v>
      </c>
      <c r="H160" s="28"/>
      <c r="I160" s="44" t="s">
        <v>248</v>
      </c>
      <c r="J160" s="31" t="s">
        <v>26</v>
      </c>
      <c r="K160" s="146" t="s">
        <v>9</v>
      </c>
      <c r="L160" s="31"/>
    </row>
    <row r="161" spans="1:12" ht="26">
      <c r="A161" s="222"/>
      <c r="B161" s="223">
        <v>152</v>
      </c>
      <c r="C161" s="224" t="s">
        <v>22</v>
      </c>
      <c r="D161" s="225">
        <v>46108</v>
      </c>
      <c r="E161" s="226"/>
      <c r="F161" s="227" t="s">
        <v>1372</v>
      </c>
      <c r="G161" s="228" t="s">
        <v>1373</v>
      </c>
      <c r="H161" s="229"/>
      <c r="I161" s="230"/>
      <c r="J161" s="231" t="s">
        <v>26</v>
      </c>
      <c r="K161" s="232" t="s">
        <v>7</v>
      </c>
      <c r="L161" s="231"/>
    </row>
    <row r="162" spans="1:12" ht="39">
      <c r="A162" s="222"/>
      <c r="B162" s="223">
        <v>153</v>
      </c>
      <c r="C162" s="224" t="s">
        <v>22</v>
      </c>
      <c r="D162" s="225">
        <v>46108</v>
      </c>
      <c r="E162" s="226">
        <v>46108</v>
      </c>
      <c r="F162" s="227" t="s">
        <v>1372</v>
      </c>
      <c r="G162" s="228" t="s">
        <v>1442</v>
      </c>
      <c r="H162" s="229"/>
      <c r="I162" s="278" t="s">
        <v>1486</v>
      </c>
      <c r="J162" s="231" t="s">
        <v>26</v>
      </c>
      <c r="K162" s="279" t="s">
        <v>9</v>
      </c>
      <c r="L162" s="280" t="s">
        <v>652</v>
      </c>
    </row>
    <row r="163" spans="1:12" ht="52">
      <c r="A163" s="222"/>
      <c r="B163" s="223">
        <v>154</v>
      </c>
      <c r="C163" s="224" t="s">
        <v>22</v>
      </c>
      <c r="D163" s="225">
        <v>46108</v>
      </c>
      <c r="E163" s="226"/>
      <c r="F163" s="227" t="s">
        <v>1372</v>
      </c>
      <c r="G163" s="228" t="s">
        <v>1443</v>
      </c>
      <c r="H163" s="229"/>
      <c r="I163" s="230"/>
      <c r="J163" s="231" t="s">
        <v>96</v>
      </c>
      <c r="K163" s="232" t="s">
        <v>7</v>
      </c>
      <c r="L163" s="231"/>
    </row>
    <row r="164" spans="1:12" ht="39">
      <c r="A164" s="222"/>
      <c r="B164" s="223">
        <v>155</v>
      </c>
      <c r="C164" s="224" t="s">
        <v>22</v>
      </c>
      <c r="D164" s="225">
        <v>46108</v>
      </c>
      <c r="E164" s="226"/>
      <c r="F164" s="227" t="s">
        <v>1372</v>
      </c>
      <c r="G164" s="228" t="s">
        <v>1374</v>
      </c>
      <c r="H164" s="229"/>
      <c r="I164" s="230"/>
      <c r="J164" s="231" t="s">
        <v>96</v>
      </c>
      <c r="K164" s="232" t="s">
        <v>7</v>
      </c>
      <c r="L164" s="231"/>
    </row>
    <row r="165" spans="1:12" ht="26">
      <c r="A165" s="222"/>
      <c r="B165" s="223">
        <v>156</v>
      </c>
      <c r="C165" s="224" t="s">
        <v>22</v>
      </c>
      <c r="D165" s="225">
        <v>46108</v>
      </c>
      <c r="E165" s="226"/>
      <c r="F165" s="227" t="s">
        <v>1372</v>
      </c>
      <c r="G165" s="228" t="s">
        <v>1375</v>
      </c>
      <c r="H165" s="229"/>
      <c r="I165" s="230"/>
      <c r="J165" s="231" t="s">
        <v>96</v>
      </c>
      <c r="K165" s="232" t="s">
        <v>7</v>
      </c>
      <c r="L165" s="231"/>
    </row>
    <row r="166" spans="1:12" ht="65">
      <c r="A166" s="222"/>
      <c r="B166" s="223">
        <v>157</v>
      </c>
      <c r="C166" s="224" t="s">
        <v>22</v>
      </c>
      <c r="D166" s="225">
        <v>46108</v>
      </c>
      <c r="E166" s="226"/>
      <c r="F166" s="227" t="s">
        <v>1372</v>
      </c>
      <c r="G166" s="228" t="s">
        <v>1376</v>
      </c>
      <c r="H166" s="229"/>
      <c r="I166" s="230"/>
      <c r="J166" s="231" t="s">
        <v>96</v>
      </c>
      <c r="K166" s="232" t="s">
        <v>7</v>
      </c>
      <c r="L166" s="231"/>
    </row>
    <row r="167" spans="1:12" ht="26">
      <c r="A167" s="222"/>
      <c r="B167" s="223">
        <v>158</v>
      </c>
      <c r="C167" s="224" t="s">
        <v>22</v>
      </c>
      <c r="D167" s="225">
        <v>46108</v>
      </c>
      <c r="E167" s="226"/>
      <c r="F167" s="227" t="s">
        <v>1372</v>
      </c>
      <c r="G167" s="228" t="s">
        <v>1377</v>
      </c>
      <c r="H167" s="229"/>
      <c r="I167" s="230"/>
      <c r="J167" s="231" t="s">
        <v>96</v>
      </c>
      <c r="K167" s="232" t="s">
        <v>7</v>
      </c>
      <c r="L167" s="231"/>
    </row>
    <row r="168" spans="1:12" ht="39">
      <c r="A168" s="222"/>
      <c r="B168" s="223">
        <v>159</v>
      </c>
      <c r="C168" s="224" t="s">
        <v>22</v>
      </c>
      <c r="D168" s="225">
        <v>46108</v>
      </c>
      <c r="E168" s="226">
        <v>46108</v>
      </c>
      <c r="F168" s="227" t="s">
        <v>1372</v>
      </c>
      <c r="G168" s="228" t="s">
        <v>1378</v>
      </c>
      <c r="H168" s="229"/>
      <c r="I168" s="278" t="s">
        <v>248</v>
      </c>
      <c r="J168" s="231" t="s">
        <v>96</v>
      </c>
      <c r="K168" s="279" t="s">
        <v>9</v>
      </c>
      <c r="L168" s="231"/>
    </row>
    <row r="169" spans="1:12" ht="26">
      <c r="A169" s="222"/>
      <c r="B169" s="223">
        <v>160</v>
      </c>
      <c r="C169" s="224" t="s">
        <v>22</v>
      </c>
      <c r="D169" s="225">
        <v>46108</v>
      </c>
      <c r="E169" s="226"/>
      <c r="F169" s="227" t="s">
        <v>1379</v>
      </c>
      <c r="G169" s="228" t="s">
        <v>1380</v>
      </c>
      <c r="H169" s="229"/>
      <c r="I169" s="230"/>
      <c r="J169" s="231" t="s">
        <v>26</v>
      </c>
      <c r="K169" s="232" t="s">
        <v>7</v>
      </c>
      <c r="L169" s="231"/>
    </row>
    <row r="170" spans="1:12" ht="65">
      <c r="A170" s="222"/>
      <c r="B170" s="223">
        <v>161</v>
      </c>
      <c r="C170" s="224" t="s">
        <v>22</v>
      </c>
      <c r="D170" s="225">
        <v>46108</v>
      </c>
      <c r="E170" s="226"/>
      <c r="F170" s="227" t="s">
        <v>1379</v>
      </c>
      <c r="G170" s="228" t="s">
        <v>1381</v>
      </c>
      <c r="H170" s="229"/>
      <c r="I170" s="230"/>
      <c r="J170" s="231" t="s">
        <v>96</v>
      </c>
      <c r="K170" s="232" t="s">
        <v>7</v>
      </c>
      <c r="L170" s="231"/>
    </row>
    <row r="171" spans="1:12" ht="39">
      <c r="A171" s="222"/>
      <c r="B171" s="223">
        <v>162</v>
      </c>
      <c r="C171" s="224" t="s">
        <v>22</v>
      </c>
      <c r="D171" s="225">
        <v>46108</v>
      </c>
      <c r="E171" s="226"/>
      <c r="F171" s="227" t="s">
        <v>1379</v>
      </c>
      <c r="G171" s="228" t="s">
        <v>1382</v>
      </c>
      <c r="H171" s="229"/>
      <c r="I171" s="230"/>
      <c r="J171" s="231" t="s">
        <v>96</v>
      </c>
      <c r="K171" s="232" t="s">
        <v>7</v>
      </c>
      <c r="L171" s="231"/>
    </row>
    <row r="172" spans="1:12" ht="26">
      <c r="A172" s="222"/>
      <c r="B172" s="223">
        <v>163</v>
      </c>
      <c r="C172" s="224" t="s">
        <v>22</v>
      </c>
      <c r="D172" s="225">
        <v>46108</v>
      </c>
      <c r="E172" s="226"/>
      <c r="F172" s="227" t="s">
        <v>1379</v>
      </c>
      <c r="G172" s="228" t="s">
        <v>1383</v>
      </c>
      <c r="H172" s="229"/>
      <c r="I172" s="230"/>
      <c r="J172" s="231" t="s">
        <v>96</v>
      </c>
      <c r="K172" s="232" t="s">
        <v>7</v>
      </c>
      <c r="L172" s="231"/>
    </row>
    <row r="173" spans="1:12" ht="39">
      <c r="A173" s="222"/>
      <c r="B173" s="223">
        <v>164</v>
      </c>
      <c r="C173" s="224" t="s">
        <v>22</v>
      </c>
      <c r="D173" s="225">
        <v>46108</v>
      </c>
      <c r="E173" s="226"/>
      <c r="F173" s="227" t="s">
        <v>1379</v>
      </c>
      <c r="G173" s="228" t="s">
        <v>1384</v>
      </c>
      <c r="H173" s="229"/>
      <c r="I173" s="230"/>
      <c r="J173" s="231" t="s">
        <v>96</v>
      </c>
      <c r="K173" s="232" t="s">
        <v>7</v>
      </c>
      <c r="L173" s="231"/>
    </row>
    <row r="174" spans="1:12" ht="26">
      <c r="A174" s="222"/>
      <c r="B174" s="223">
        <v>165</v>
      </c>
      <c r="C174" s="224" t="s">
        <v>22</v>
      </c>
      <c r="D174" s="225">
        <v>46108</v>
      </c>
      <c r="E174" s="226"/>
      <c r="F174" s="227" t="s">
        <v>1379</v>
      </c>
      <c r="G174" s="228" t="s">
        <v>1385</v>
      </c>
      <c r="H174" s="229"/>
      <c r="I174" s="230"/>
      <c r="J174" s="231" t="s">
        <v>96</v>
      </c>
      <c r="K174" s="232" t="s">
        <v>7</v>
      </c>
      <c r="L174" s="231"/>
    </row>
    <row r="175" spans="1:12" ht="39">
      <c r="A175" s="222"/>
      <c r="B175" s="223">
        <v>166</v>
      </c>
      <c r="C175" s="224" t="s">
        <v>22</v>
      </c>
      <c r="D175" s="225">
        <v>46108</v>
      </c>
      <c r="E175" s="226"/>
      <c r="F175" s="227" t="s">
        <v>1379</v>
      </c>
      <c r="G175" s="228" t="s">
        <v>1386</v>
      </c>
      <c r="H175" s="229"/>
      <c r="I175" s="230"/>
      <c r="J175" s="231" t="s">
        <v>96</v>
      </c>
      <c r="K175" s="232" t="s">
        <v>7</v>
      </c>
      <c r="L175" s="231"/>
    </row>
    <row r="176" spans="1:12" ht="65">
      <c r="A176" s="222"/>
      <c r="B176" s="223">
        <v>167</v>
      </c>
      <c r="C176" s="224" t="s">
        <v>22</v>
      </c>
      <c r="D176" s="225">
        <v>46108</v>
      </c>
      <c r="E176" s="226">
        <v>46108</v>
      </c>
      <c r="F176" s="227" t="s">
        <v>1379</v>
      </c>
      <c r="G176" s="228" t="s">
        <v>1387</v>
      </c>
      <c r="H176" s="229"/>
      <c r="I176" s="278" t="s">
        <v>424</v>
      </c>
      <c r="J176" s="231" t="s">
        <v>96</v>
      </c>
      <c r="K176" s="232" t="s">
        <v>9</v>
      </c>
      <c r="L176" s="280" t="s">
        <v>425</v>
      </c>
    </row>
    <row r="177" spans="1:12" ht="52">
      <c r="A177" s="222"/>
      <c r="B177" s="223">
        <v>168</v>
      </c>
      <c r="C177" s="224" t="s">
        <v>22</v>
      </c>
      <c r="D177" s="225">
        <v>46108</v>
      </c>
      <c r="E177" s="226"/>
      <c r="F177" s="227" t="s">
        <v>1379</v>
      </c>
      <c r="G177" s="228" t="s">
        <v>1388</v>
      </c>
      <c r="H177" s="229"/>
      <c r="I177" s="230"/>
      <c r="J177" s="231" t="s">
        <v>96</v>
      </c>
      <c r="K177" s="232" t="s">
        <v>7</v>
      </c>
      <c r="L177" s="231"/>
    </row>
    <row r="178" spans="1:12" ht="26">
      <c r="A178" s="222"/>
      <c r="B178" s="223">
        <v>169</v>
      </c>
      <c r="C178" s="224" t="s">
        <v>22</v>
      </c>
      <c r="D178" s="225">
        <v>46108</v>
      </c>
      <c r="E178" s="226"/>
      <c r="F178" s="227" t="s">
        <v>1379</v>
      </c>
      <c r="G178" s="228" t="s">
        <v>1389</v>
      </c>
      <c r="H178" s="229"/>
      <c r="I178" s="230"/>
      <c r="J178" s="231" t="s">
        <v>96</v>
      </c>
      <c r="K178" s="232" t="s">
        <v>7</v>
      </c>
      <c r="L178" s="231"/>
    </row>
    <row r="179" spans="1:12" ht="52">
      <c r="A179" s="222"/>
      <c r="B179" s="223">
        <v>170</v>
      </c>
      <c r="C179" s="224" t="s">
        <v>22</v>
      </c>
      <c r="D179" s="225">
        <v>46108</v>
      </c>
      <c r="E179" s="226"/>
      <c r="F179" s="227" t="s">
        <v>1390</v>
      </c>
      <c r="G179" s="228" t="s">
        <v>1391</v>
      </c>
      <c r="H179" s="229"/>
      <c r="I179" s="230"/>
      <c r="J179" s="231" t="s">
        <v>96</v>
      </c>
      <c r="K179" s="232" t="s">
        <v>7</v>
      </c>
      <c r="L179" s="231"/>
    </row>
    <row r="180" spans="1:12" ht="26">
      <c r="A180" s="222"/>
      <c r="B180" s="223">
        <v>171</v>
      </c>
      <c r="C180" s="224" t="s">
        <v>22</v>
      </c>
      <c r="D180" s="225">
        <v>46108</v>
      </c>
      <c r="E180" s="226"/>
      <c r="F180" s="227" t="s">
        <v>1390</v>
      </c>
      <c r="G180" s="228" t="s">
        <v>1392</v>
      </c>
      <c r="H180" s="229"/>
      <c r="I180" s="230"/>
      <c r="J180" s="231" t="s">
        <v>96</v>
      </c>
      <c r="K180" s="232" t="s">
        <v>7</v>
      </c>
      <c r="L180" s="231"/>
    </row>
    <row r="181" spans="1:12" ht="39">
      <c r="A181" s="222"/>
      <c r="B181" s="223">
        <v>172</v>
      </c>
      <c r="C181" s="224" t="s">
        <v>22</v>
      </c>
      <c r="D181" s="225">
        <v>46108</v>
      </c>
      <c r="E181" s="226"/>
      <c r="F181" s="227" t="s">
        <v>1390</v>
      </c>
      <c r="G181" s="228" t="s">
        <v>1393</v>
      </c>
      <c r="H181" s="229"/>
      <c r="I181" s="230"/>
      <c r="J181" s="231" t="s">
        <v>96</v>
      </c>
      <c r="K181" s="232" t="s">
        <v>7</v>
      </c>
      <c r="L181" s="231"/>
    </row>
    <row r="182" spans="1:12" ht="26">
      <c r="A182" s="222"/>
      <c r="B182" s="223">
        <v>173</v>
      </c>
      <c r="C182" s="224" t="s">
        <v>22</v>
      </c>
      <c r="D182" s="225">
        <v>46108</v>
      </c>
      <c r="E182" s="226"/>
      <c r="F182" s="227" t="s">
        <v>1390</v>
      </c>
      <c r="G182" s="228" t="s">
        <v>1394</v>
      </c>
      <c r="H182" s="229"/>
      <c r="I182" s="230"/>
      <c r="J182" s="231" t="s">
        <v>96</v>
      </c>
      <c r="K182" s="232" t="s">
        <v>7</v>
      </c>
      <c r="L182" s="231"/>
    </row>
    <row r="183" spans="1:12" ht="39">
      <c r="A183" s="222"/>
      <c r="B183" s="223">
        <v>174</v>
      </c>
      <c r="C183" s="224" t="s">
        <v>22</v>
      </c>
      <c r="D183" s="225">
        <v>46108</v>
      </c>
      <c r="E183" s="226">
        <v>46108</v>
      </c>
      <c r="F183" s="227" t="s">
        <v>1390</v>
      </c>
      <c r="G183" s="228" t="s">
        <v>1395</v>
      </c>
      <c r="H183" s="229"/>
      <c r="I183" s="278" t="s">
        <v>1487</v>
      </c>
      <c r="J183" s="231" t="s">
        <v>96</v>
      </c>
      <c r="K183" s="279" t="s">
        <v>9</v>
      </c>
      <c r="L183" s="231"/>
    </row>
    <row r="184" spans="1:12" ht="26">
      <c r="A184" s="222"/>
      <c r="B184" s="223">
        <v>175</v>
      </c>
      <c r="C184" s="224" t="s">
        <v>22</v>
      </c>
      <c r="D184" s="225">
        <v>46108</v>
      </c>
      <c r="E184" s="226"/>
      <c r="F184" s="227" t="s">
        <v>1390</v>
      </c>
      <c r="G184" s="228" t="s">
        <v>1396</v>
      </c>
      <c r="H184" s="229"/>
      <c r="I184" s="230"/>
      <c r="J184" s="231" t="s">
        <v>96</v>
      </c>
      <c r="K184" s="232" t="s">
        <v>7</v>
      </c>
      <c r="L184" s="231"/>
    </row>
    <row r="185" spans="1:12" ht="26">
      <c r="A185" s="222"/>
      <c r="B185" s="223">
        <v>176</v>
      </c>
      <c r="C185" s="224" t="s">
        <v>22</v>
      </c>
      <c r="D185" s="225">
        <v>46108</v>
      </c>
      <c r="E185" s="226"/>
      <c r="F185" s="227" t="s">
        <v>1390</v>
      </c>
      <c r="G185" s="228" t="s">
        <v>1397</v>
      </c>
      <c r="H185" s="229"/>
      <c r="I185" s="230"/>
      <c r="J185" s="231" t="s">
        <v>26</v>
      </c>
      <c r="K185" s="232" t="s">
        <v>7</v>
      </c>
      <c r="L185" s="231"/>
    </row>
    <row r="186" spans="1:12" ht="26">
      <c r="A186" s="222"/>
      <c r="B186" s="223">
        <v>177</v>
      </c>
      <c r="C186" s="224" t="s">
        <v>22</v>
      </c>
      <c r="D186" s="225">
        <v>46108</v>
      </c>
      <c r="E186" s="226"/>
      <c r="F186" s="227" t="s">
        <v>1390</v>
      </c>
      <c r="G186" s="228" t="s">
        <v>1398</v>
      </c>
      <c r="H186" s="229"/>
      <c r="I186" s="230"/>
      <c r="J186" s="231" t="s">
        <v>96</v>
      </c>
      <c r="K186" s="232" t="s">
        <v>7</v>
      </c>
      <c r="L186" s="231"/>
    </row>
    <row r="187" spans="1:12" ht="156">
      <c r="A187" s="222"/>
      <c r="B187" s="223">
        <v>178</v>
      </c>
      <c r="C187" s="224" t="s">
        <v>22</v>
      </c>
      <c r="D187" s="225">
        <v>46108</v>
      </c>
      <c r="E187" s="226"/>
      <c r="F187" s="227" t="s">
        <v>1399</v>
      </c>
      <c r="G187" s="228" t="s">
        <v>1400</v>
      </c>
      <c r="H187" s="229"/>
      <c r="I187" s="230"/>
      <c r="J187" s="231" t="s">
        <v>96</v>
      </c>
      <c r="K187" s="232" t="s">
        <v>7</v>
      </c>
      <c r="L187" s="231"/>
    </row>
    <row r="188" spans="1:12" ht="91">
      <c r="A188" s="222"/>
      <c r="B188" s="223">
        <v>179</v>
      </c>
      <c r="C188" s="224" t="s">
        <v>22</v>
      </c>
      <c r="D188" s="225">
        <v>46108</v>
      </c>
      <c r="E188" s="226"/>
      <c r="F188" s="227" t="s">
        <v>1399</v>
      </c>
      <c r="G188" s="228" t="s">
        <v>1401</v>
      </c>
      <c r="H188" s="229"/>
      <c r="I188" s="230"/>
      <c r="J188" s="231" t="s">
        <v>96</v>
      </c>
      <c r="K188" s="232" t="s">
        <v>7</v>
      </c>
      <c r="L188" s="231"/>
    </row>
    <row r="189" spans="1:12" ht="117">
      <c r="A189" s="222"/>
      <c r="B189" s="223">
        <v>180</v>
      </c>
      <c r="C189" s="224" t="s">
        <v>22</v>
      </c>
      <c r="D189" s="225">
        <v>46108</v>
      </c>
      <c r="E189" s="226"/>
      <c r="F189" s="227" t="s">
        <v>1399</v>
      </c>
      <c r="G189" s="228" t="s">
        <v>1402</v>
      </c>
      <c r="H189" s="229"/>
      <c r="I189" s="230"/>
      <c r="J189" s="231" t="s">
        <v>96</v>
      </c>
      <c r="K189" s="232" t="s">
        <v>7</v>
      </c>
      <c r="L189" s="231"/>
    </row>
    <row r="190" spans="1:12" ht="26">
      <c r="A190" s="222"/>
      <c r="B190" s="223">
        <v>181</v>
      </c>
      <c r="C190" s="224" t="s">
        <v>22</v>
      </c>
      <c r="D190" s="225">
        <v>46108</v>
      </c>
      <c r="E190" s="226"/>
      <c r="F190" s="227" t="s">
        <v>1399</v>
      </c>
      <c r="G190" s="228" t="s">
        <v>1403</v>
      </c>
      <c r="H190" s="229"/>
      <c r="I190" s="230"/>
      <c r="J190" s="231" t="s">
        <v>96</v>
      </c>
      <c r="K190" s="232" t="s">
        <v>7</v>
      </c>
      <c r="L190" s="231"/>
    </row>
    <row r="191" spans="1:12" ht="169">
      <c r="A191" s="222"/>
      <c r="B191" s="223">
        <v>182</v>
      </c>
      <c r="C191" s="224" t="s">
        <v>22</v>
      </c>
      <c r="D191" s="225">
        <v>46108</v>
      </c>
      <c r="E191" s="226"/>
      <c r="F191" s="227" t="s">
        <v>1399</v>
      </c>
      <c r="G191" s="228" t="s">
        <v>1404</v>
      </c>
      <c r="H191" s="229"/>
      <c r="I191" s="230"/>
      <c r="J191" s="231" t="s">
        <v>96</v>
      </c>
      <c r="K191" s="232" t="s">
        <v>7</v>
      </c>
      <c r="L191" s="231"/>
    </row>
    <row r="192" spans="1:12" ht="39">
      <c r="A192" s="222"/>
      <c r="B192" s="223">
        <v>183</v>
      </c>
      <c r="C192" s="224" t="s">
        <v>22</v>
      </c>
      <c r="D192" s="225">
        <v>46108</v>
      </c>
      <c r="E192" s="226"/>
      <c r="F192" s="227" t="s">
        <v>1399</v>
      </c>
      <c r="G192" s="228" t="s">
        <v>1405</v>
      </c>
      <c r="H192" s="229"/>
      <c r="I192" s="230"/>
      <c r="J192" s="231" t="s">
        <v>96</v>
      </c>
      <c r="K192" s="232" t="s">
        <v>7</v>
      </c>
      <c r="L192" s="231"/>
    </row>
    <row r="193" spans="1:12" ht="52">
      <c r="A193" s="222"/>
      <c r="B193" s="223">
        <v>184</v>
      </c>
      <c r="C193" s="224" t="s">
        <v>22</v>
      </c>
      <c r="D193" s="225">
        <v>46108</v>
      </c>
      <c r="E193" s="226"/>
      <c r="F193" s="227" t="s">
        <v>1399</v>
      </c>
      <c r="G193" s="228" t="s">
        <v>1406</v>
      </c>
      <c r="H193" s="229"/>
      <c r="I193" s="230"/>
      <c r="J193" s="231" t="s">
        <v>96</v>
      </c>
      <c r="K193" s="232" t="s">
        <v>7</v>
      </c>
      <c r="L193" s="231"/>
    </row>
    <row r="194" spans="1:12" ht="78">
      <c r="A194" s="222"/>
      <c r="B194" s="223">
        <v>185</v>
      </c>
      <c r="C194" s="224" t="s">
        <v>22</v>
      </c>
      <c r="D194" s="225">
        <v>46108</v>
      </c>
      <c r="E194" s="226"/>
      <c r="F194" s="227" t="s">
        <v>1399</v>
      </c>
      <c r="G194" s="228" t="s">
        <v>1407</v>
      </c>
      <c r="H194" s="229"/>
      <c r="I194" s="230"/>
      <c r="J194" s="231" t="s">
        <v>96</v>
      </c>
      <c r="K194" s="232" t="s">
        <v>7</v>
      </c>
      <c r="L194" s="231"/>
    </row>
    <row r="195" spans="1:12" ht="65">
      <c r="A195" s="222"/>
      <c r="B195" s="223">
        <v>186</v>
      </c>
      <c r="C195" s="224" t="s">
        <v>22</v>
      </c>
      <c r="D195" s="225">
        <v>46108</v>
      </c>
      <c r="E195" s="226"/>
      <c r="F195" s="227" t="s">
        <v>1399</v>
      </c>
      <c r="G195" s="228" t="s">
        <v>1408</v>
      </c>
      <c r="H195" s="229"/>
      <c r="I195" s="230"/>
      <c r="J195" s="231" t="s">
        <v>96</v>
      </c>
      <c r="K195" s="232" t="s">
        <v>7</v>
      </c>
      <c r="L195" s="231"/>
    </row>
    <row r="196" spans="1:12" ht="26">
      <c r="A196" s="222"/>
      <c r="B196" s="223">
        <v>187</v>
      </c>
      <c r="C196" s="224" t="s">
        <v>22</v>
      </c>
      <c r="D196" s="225">
        <v>46108</v>
      </c>
      <c r="E196" s="226"/>
      <c r="F196" s="227" t="s">
        <v>1409</v>
      </c>
      <c r="G196" s="228" t="s">
        <v>1410</v>
      </c>
      <c r="H196" s="229"/>
      <c r="I196" s="230"/>
      <c r="J196" s="231" t="s">
        <v>96</v>
      </c>
      <c r="K196" s="232" t="s">
        <v>7</v>
      </c>
      <c r="L196" s="231"/>
    </row>
    <row r="197" spans="1:12" ht="26">
      <c r="A197" s="222"/>
      <c r="B197" s="223">
        <v>188</v>
      </c>
      <c r="C197" s="224" t="s">
        <v>22</v>
      </c>
      <c r="D197" s="225">
        <v>46108</v>
      </c>
      <c r="E197" s="226"/>
      <c r="F197" s="227" t="s">
        <v>1409</v>
      </c>
      <c r="G197" s="228" t="s">
        <v>1411</v>
      </c>
      <c r="H197" s="229"/>
      <c r="I197" s="230"/>
      <c r="J197" s="231" t="s">
        <v>96</v>
      </c>
      <c r="K197" s="232" t="s">
        <v>7</v>
      </c>
      <c r="L197" s="231"/>
    </row>
    <row r="198" spans="1:12">
      <c r="A198" s="222"/>
      <c r="B198" s="223">
        <v>189</v>
      </c>
      <c r="C198" s="224" t="s">
        <v>22</v>
      </c>
      <c r="D198" s="225">
        <v>46108</v>
      </c>
      <c r="E198" s="226">
        <v>46108</v>
      </c>
      <c r="F198" s="227" t="s">
        <v>1409</v>
      </c>
      <c r="G198" s="228" t="s">
        <v>1412</v>
      </c>
      <c r="H198" s="229"/>
      <c r="I198" s="278" t="s">
        <v>1370</v>
      </c>
      <c r="J198" s="231" t="s">
        <v>96</v>
      </c>
      <c r="K198" s="279" t="s">
        <v>9</v>
      </c>
      <c r="L198" s="280" t="s">
        <v>462</v>
      </c>
    </row>
    <row r="199" spans="1:12" ht="26">
      <c r="A199" s="222"/>
      <c r="B199" s="223">
        <v>190</v>
      </c>
      <c r="C199" s="224" t="s">
        <v>22</v>
      </c>
      <c r="D199" s="225">
        <v>46108</v>
      </c>
      <c r="E199" s="226"/>
      <c r="F199" s="227" t="s">
        <v>1409</v>
      </c>
      <c r="G199" s="228" t="s">
        <v>1413</v>
      </c>
      <c r="H199" s="229"/>
      <c r="I199" s="230"/>
      <c r="J199" s="231" t="s">
        <v>96</v>
      </c>
      <c r="K199" s="232" t="s">
        <v>7</v>
      </c>
      <c r="L199" s="231"/>
    </row>
    <row r="200" spans="1:12" ht="26">
      <c r="A200" s="222"/>
      <c r="B200" s="223">
        <v>191</v>
      </c>
      <c r="C200" s="224" t="s">
        <v>22</v>
      </c>
      <c r="D200" s="225">
        <v>46108</v>
      </c>
      <c r="E200" s="226"/>
      <c r="F200" s="227" t="s">
        <v>1409</v>
      </c>
      <c r="G200" s="228" t="s">
        <v>1414</v>
      </c>
      <c r="H200" s="229"/>
      <c r="I200" s="230"/>
      <c r="J200" s="231" t="s">
        <v>96</v>
      </c>
      <c r="K200" s="232" t="s">
        <v>7</v>
      </c>
      <c r="L200" s="231"/>
    </row>
    <row r="201" spans="1:12" ht="26">
      <c r="A201" s="222"/>
      <c r="B201" s="223">
        <v>192</v>
      </c>
      <c r="C201" s="224" t="s">
        <v>22</v>
      </c>
      <c r="D201" s="225">
        <v>46108</v>
      </c>
      <c r="E201" s="226"/>
      <c r="F201" s="227" t="s">
        <v>1415</v>
      </c>
      <c r="G201" s="228" t="s">
        <v>1416</v>
      </c>
      <c r="H201" s="229"/>
      <c r="I201" s="230"/>
      <c r="J201" s="231" t="s">
        <v>26</v>
      </c>
      <c r="K201" s="232" t="s">
        <v>7</v>
      </c>
      <c r="L201" s="231"/>
    </row>
    <row r="202" spans="1:12" ht="26">
      <c r="A202" s="222"/>
      <c r="B202" s="223">
        <v>193</v>
      </c>
      <c r="C202" s="224" t="s">
        <v>22</v>
      </c>
      <c r="D202" s="225">
        <v>46108</v>
      </c>
      <c r="E202" s="226"/>
      <c r="F202" s="227" t="s">
        <v>1415</v>
      </c>
      <c r="G202" s="228" t="s">
        <v>1417</v>
      </c>
      <c r="H202" s="229"/>
      <c r="I202" s="230"/>
      <c r="J202" s="231" t="s">
        <v>26</v>
      </c>
      <c r="K202" s="232" t="s">
        <v>7</v>
      </c>
      <c r="L202" s="231"/>
    </row>
    <row r="203" spans="1:12" ht="26">
      <c r="A203" s="222"/>
      <c r="B203" s="223">
        <v>194</v>
      </c>
      <c r="C203" s="224" t="s">
        <v>22</v>
      </c>
      <c r="D203" s="225">
        <v>46108</v>
      </c>
      <c r="E203" s="226"/>
      <c r="F203" s="227" t="s">
        <v>1415</v>
      </c>
      <c r="G203" s="228" t="s">
        <v>1418</v>
      </c>
      <c r="H203" s="229"/>
      <c r="I203" s="230"/>
      <c r="J203" s="231" t="s">
        <v>26</v>
      </c>
      <c r="K203" s="232" t="s">
        <v>7</v>
      </c>
      <c r="L203" s="231"/>
    </row>
    <row r="204" spans="1:12" ht="156">
      <c r="A204" s="222"/>
      <c r="B204" s="223">
        <v>195</v>
      </c>
      <c r="C204" s="224" t="s">
        <v>22</v>
      </c>
      <c r="D204" s="225">
        <v>46108</v>
      </c>
      <c r="E204" s="226"/>
      <c r="F204" s="227" t="s">
        <v>227</v>
      </c>
      <c r="G204" s="228" t="s">
        <v>1419</v>
      </c>
      <c r="H204" s="229"/>
      <c r="I204" s="230"/>
      <c r="J204" s="231" t="s">
        <v>26</v>
      </c>
      <c r="K204" s="232" t="s">
        <v>7</v>
      </c>
      <c r="L204" s="231"/>
    </row>
    <row r="205" spans="1:12" ht="52">
      <c r="A205" s="222"/>
      <c r="B205" s="223">
        <v>196</v>
      </c>
      <c r="C205" s="224" t="s">
        <v>22</v>
      </c>
      <c r="D205" s="225">
        <v>46108</v>
      </c>
      <c r="E205" s="226"/>
      <c r="F205" s="227" t="s">
        <v>227</v>
      </c>
      <c r="G205" s="228" t="s">
        <v>1420</v>
      </c>
      <c r="H205" s="229"/>
      <c r="I205" s="230"/>
      <c r="J205" s="231" t="s">
        <v>26</v>
      </c>
      <c r="K205" s="232" t="s">
        <v>7</v>
      </c>
      <c r="L205" s="231"/>
    </row>
    <row r="206" spans="1:12" ht="65">
      <c r="A206" s="222"/>
      <c r="B206" s="223">
        <v>197</v>
      </c>
      <c r="C206" s="224" t="s">
        <v>22</v>
      </c>
      <c r="D206" s="225">
        <v>46108</v>
      </c>
      <c r="E206" s="226"/>
      <c r="F206" s="227" t="s">
        <v>227</v>
      </c>
      <c r="G206" s="228" t="s">
        <v>1421</v>
      </c>
      <c r="H206" s="229"/>
      <c r="I206" s="230"/>
      <c r="J206" s="231" t="s">
        <v>26</v>
      </c>
      <c r="K206" s="232" t="s">
        <v>7</v>
      </c>
      <c r="L206" s="231"/>
    </row>
    <row r="207" spans="1:12" ht="117">
      <c r="A207" s="222"/>
      <c r="B207" s="223">
        <v>198</v>
      </c>
      <c r="C207" s="224" t="s">
        <v>22</v>
      </c>
      <c r="D207" s="225">
        <v>46108</v>
      </c>
      <c r="E207" s="226"/>
      <c r="F207" s="227" t="s">
        <v>227</v>
      </c>
      <c r="G207" s="228" t="s">
        <v>1422</v>
      </c>
      <c r="H207" s="229"/>
      <c r="I207" s="230"/>
      <c r="J207" s="231" t="s">
        <v>96</v>
      </c>
      <c r="K207" s="232" t="s">
        <v>7</v>
      </c>
      <c r="L207" s="231"/>
    </row>
    <row r="208" spans="1:12" ht="26">
      <c r="A208" s="222"/>
      <c r="B208" s="223">
        <v>199</v>
      </c>
      <c r="C208" s="224" t="s">
        <v>22</v>
      </c>
      <c r="D208" s="225">
        <v>46108</v>
      </c>
      <c r="E208" s="226"/>
      <c r="F208" s="227" t="s">
        <v>227</v>
      </c>
      <c r="G208" s="228" t="s">
        <v>1423</v>
      </c>
      <c r="H208" s="229"/>
      <c r="I208" s="230"/>
      <c r="J208" s="231" t="s">
        <v>26</v>
      </c>
      <c r="K208" s="232" t="s">
        <v>8</v>
      </c>
      <c r="L208" s="231"/>
    </row>
    <row r="209" spans="1:12">
      <c r="A209" s="222"/>
      <c r="B209" s="223">
        <v>200</v>
      </c>
      <c r="C209" s="224" t="s">
        <v>22</v>
      </c>
      <c r="D209" s="225">
        <v>46108</v>
      </c>
      <c r="E209" s="226">
        <v>46108</v>
      </c>
      <c r="F209" s="227" t="s">
        <v>227</v>
      </c>
      <c r="G209" s="228" t="s">
        <v>1424</v>
      </c>
      <c r="H209" s="229"/>
      <c r="I209" s="278" t="s">
        <v>1485</v>
      </c>
      <c r="J209" s="231" t="s">
        <v>26</v>
      </c>
      <c r="K209" s="279" t="s">
        <v>9</v>
      </c>
      <c r="L209" s="231"/>
    </row>
    <row r="210" spans="1:12" ht="26">
      <c r="A210" s="222"/>
      <c r="B210" s="223">
        <v>201</v>
      </c>
      <c r="C210" s="224" t="s">
        <v>22</v>
      </c>
      <c r="D210" s="225">
        <v>46108</v>
      </c>
      <c r="E210" s="226"/>
      <c r="F210" s="227" t="s">
        <v>65</v>
      </c>
      <c r="G210" s="228" t="s">
        <v>1425</v>
      </c>
      <c r="H210" s="229"/>
      <c r="I210" s="230"/>
      <c r="J210" s="231" t="s">
        <v>26</v>
      </c>
      <c r="K210" s="232" t="s">
        <v>7</v>
      </c>
      <c r="L210" s="231"/>
    </row>
    <row r="211" spans="1:12">
      <c r="A211" s="222"/>
      <c r="B211" s="223">
        <v>202</v>
      </c>
      <c r="C211" s="224" t="s">
        <v>22</v>
      </c>
      <c r="D211" s="225">
        <v>46108</v>
      </c>
      <c r="E211" s="226"/>
      <c r="F211" s="227" t="s">
        <v>65</v>
      </c>
      <c r="G211" s="228" t="s">
        <v>1426</v>
      </c>
      <c r="H211" s="229"/>
      <c r="I211" s="230"/>
      <c r="J211" s="231" t="s">
        <v>26</v>
      </c>
      <c r="K211" s="232" t="s">
        <v>7</v>
      </c>
      <c r="L211" s="231"/>
    </row>
    <row r="212" spans="1:12" ht="39">
      <c r="A212" s="222"/>
      <c r="B212" s="223">
        <v>203</v>
      </c>
      <c r="C212" s="224" t="s">
        <v>22</v>
      </c>
      <c r="D212" s="225">
        <v>46108</v>
      </c>
      <c r="E212" s="226"/>
      <c r="F212" s="227" t="s">
        <v>65</v>
      </c>
      <c r="G212" s="228" t="s">
        <v>1427</v>
      </c>
      <c r="H212" s="229"/>
      <c r="I212" s="230"/>
      <c r="J212" s="231" t="s">
        <v>26</v>
      </c>
      <c r="K212" s="232" t="s">
        <v>7</v>
      </c>
      <c r="L212" s="231"/>
    </row>
    <row r="213" spans="1:12">
      <c r="A213" s="222"/>
      <c r="B213" s="223">
        <v>204</v>
      </c>
      <c r="C213" s="224" t="s">
        <v>22</v>
      </c>
      <c r="D213" s="225">
        <v>46108</v>
      </c>
      <c r="E213" s="226"/>
      <c r="F213" s="227" t="s">
        <v>65</v>
      </c>
      <c r="G213" s="228" t="s">
        <v>1428</v>
      </c>
      <c r="H213" s="229"/>
      <c r="I213" s="230"/>
      <c r="J213" s="231" t="s">
        <v>96</v>
      </c>
      <c r="K213" s="232" t="s">
        <v>7</v>
      </c>
      <c r="L213" s="231"/>
    </row>
    <row r="214" spans="1:12" ht="26">
      <c r="A214" s="222"/>
      <c r="B214" s="223">
        <v>205</v>
      </c>
      <c r="C214" s="224" t="s">
        <v>22</v>
      </c>
      <c r="D214" s="225">
        <v>46108</v>
      </c>
      <c r="E214" s="226"/>
      <c r="F214" s="227" t="s">
        <v>65</v>
      </c>
      <c r="G214" s="228" t="s">
        <v>1429</v>
      </c>
      <c r="H214" s="229"/>
      <c r="I214" s="230"/>
      <c r="J214" s="231" t="s">
        <v>96</v>
      </c>
      <c r="K214" s="232" t="s">
        <v>7</v>
      </c>
      <c r="L214" s="231"/>
    </row>
    <row r="215" spans="1:12" ht="26">
      <c r="A215" s="222"/>
      <c r="B215" s="223">
        <v>206</v>
      </c>
      <c r="C215" s="224" t="s">
        <v>22</v>
      </c>
      <c r="D215" s="225">
        <v>46108</v>
      </c>
      <c r="E215" s="226"/>
      <c r="F215" s="227" t="s">
        <v>65</v>
      </c>
      <c r="G215" s="228" t="s">
        <v>1430</v>
      </c>
      <c r="H215" s="229"/>
      <c r="I215" s="230"/>
      <c r="J215" s="231" t="s">
        <v>26</v>
      </c>
      <c r="K215" s="232" t="s">
        <v>7</v>
      </c>
      <c r="L215" s="231"/>
    </row>
    <row r="216" spans="1:12" ht="26">
      <c r="A216" s="222"/>
      <c r="B216" s="223">
        <v>207</v>
      </c>
      <c r="C216" s="224" t="s">
        <v>22</v>
      </c>
      <c r="D216" s="225">
        <v>46108</v>
      </c>
      <c r="E216" s="226"/>
      <c r="F216" s="227" t="s">
        <v>65</v>
      </c>
      <c r="G216" s="228" t="s">
        <v>1431</v>
      </c>
      <c r="H216" s="229"/>
      <c r="I216" s="230"/>
      <c r="J216" s="231" t="s">
        <v>96</v>
      </c>
      <c r="K216" s="232" t="s">
        <v>7</v>
      </c>
      <c r="L216" s="231"/>
    </row>
    <row r="217" spans="1:12" ht="26">
      <c r="A217" s="222"/>
      <c r="B217" s="223">
        <v>208</v>
      </c>
      <c r="C217" s="224" t="s">
        <v>22</v>
      </c>
      <c r="D217" s="225">
        <v>46108</v>
      </c>
      <c r="E217" s="226"/>
      <c r="F217" s="227" t="s">
        <v>65</v>
      </c>
      <c r="G217" s="228" t="s">
        <v>1432</v>
      </c>
      <c r="H217" s="229"/>
      <c r="I217" s="230"/>
      <c r="J217" s="231" t="s">
        <v>26</v>
      </c>
      <c r="K217" s="232" t="s">
        <v>7</v>
      </c>
      <c r="L217" s="231"/>
    </row>
  </sheetData>
  <conditionalFormatting sqref="G10:G217 I10:J217">
    <cfRule type="cellIs" dxfId="32" priority="22" operator="equal">
      <formula>"Closed"</formula>
    </cfRule>
    <cfRule type="cellIs" dxfId="31" priority="23" operator="equal">
      <formula>"Partial"</formula>
    </cfRule>
    <cfRule type="cellIs" dxfId="30" priority="24" operator="equal">
      <formula>"Data Room"</formula>
    </cfRule>
    <cfRule type="cellIs" dxfId="29" priority="25" operator="equal">
      <formula>"Partial"</formula>
    </cfRule>
    <cfRule type="cellIs" dxfId="28" priority="26" operator="equal">
      <formula>"In-Process"</formula>
    </cfRule>
    <cfRule type="cellIs" dxfId="27" priority="27" operator="equal">
      <formula>"Defer"</formula>
    </cfRule>
    <cfRule type="cellIs" dxfId="26" priority="28" operator="equal">
      <formula>"Closed"</formula>
    </cfRule>
    <cfRule type="cellIs" dxfId="25" priority="29" operator="equal">
      <formula>"Open"</formula>
    </cfRule>
    <cfRule type="cellIs" dxfId="24" priority="30" operator="equal">
      <formula>"WB In-Process"</formula>
    </cfRule>
  </conditionalFormatting>
  <conditionalFormatting sqref="I10:J217 G10:G217">
    <cfRule type="expression" dxfId="23" priority="20">
      <formula>G10="High"</formula>
    </cfRule>
    <cfRule type="expression" dxfId="22" priority="21">
      <formula>G10="Very High"</formula>
    </cfRule>
  </conditionalFormatting>
  <conditionalFormatting sqref="J10:J217">
    <cfRule type="cellIs" dxfId="21" priority="17" stopIfTrue="1" operator="equal">
      <formula>"High"</formula>
    </cfRule>
    <cfRule type="cellIs" dxfId="20" priority="18" stopIfTrue="1" operator="equal">
      <formula>"Medium"</formula>
    </cfRule>
    <cfRule type="cellIs" dxfId="19" priority="19" stopIfTrue="1" operator="equal">
      <formula>"Low"</formula>
    </cfRule>
  </conditionalFormatting>
  <conditionalFormatting sqref="K2 I3:K7 K8:K217">
    <cfRule type="cellIs" dxfId="18" priority="31" operator="equal">
      <formula>"scheduled"</formula>
    </cfRule>
    <cfRule type="cellIs" dxfId="17" priority="32" operator="equal">
      <formula>"defer"</formula>
    </cfRule>
    <cfRule type="cellIs" dxfId="16" priority="33" operator="equal">
      <formula>"open"</formula>
    </cfRule>
    <cfRule type="cellIs" dxfId="15" priority="34" operator="equal">
      <formula>"complete"</formula>
    </cfRule>
    <cfRule type="cellIs" dxfId="14" priority="35" operator="equal">
      <formula>"in process"</formula>
    </cfRule>
  </conditionalFormatting>
  <conditionalFormatting sqref="L10:L217">
    <cfRule type="expression" dxfId="13" priority="1">
      <formula>L10="High"</formula>
    </cfRule>
    <cfRule type="expression" dxfId="12" priority="2">
      <formula>L10="Very High"</formula>
    </cfRule>
    <cfRule type="cellIs" dxfId="11" priority="3" operator="equal">
      <formula>"Closed"</formula>
    </cfRule>
    <cfRule type="cellIs" dxfId="10" priority="4" operator="equal">
      <formula>"Partial"</formula>
    </cfRule>
    <cfRule type="cellIs" dxfId="9" priority="5" operator="equal">
      <formula>"Data Room"</formula>
    </cfRule>
    <cfRule type="cellIs" dxfId="8" priority="6" operator="equal">
      <formula>"Partial"</formula>
    </cfRule>
    <cfRule type="cellIs" dxfId="7" priority="7" operator="equal">
      <formula>"In-Process"</formula>
    </cfRule>
    <cfRule type="cellIs" dxfId="6" priority="8" operator="equal">
      <formula>"Defer"</formula>
    </cfRule>
    <cfRule type="cellIs" dxfId="5" priority="9" operator="equal">
      <formula>"Closed"</formula>
    </cfRule>
    <cfRule type="cellIs" dxfId="4" priority="10" operator="equal">
      <formula>"Open"</formula>
    </cfRule>
    <cfRule type="cellIs" dxfId="3" priority="11" operator="equal">
      <formula>"WB In-Process"</formula>
    </cfRule>
  </conditionalFormatting>
  <dataValidations count="1">
    <dataValidation type="list" allowBlank="1" showInputMessage="1" showErrorMessage="1" sqref="K10:K160" xr:uid="{863B6B83-E449-4F4A-9A6C-8B6BC8108B3E}">
      <formula1>$I$3:$I$6</formula1>
    </dataValidation>
  </dataValidations>
  <pageMargins left="0.7" right="0.7" top="0.75" bottom="0.75" header="0.3" footer="0.3"/>
  <pageSetup scale="1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1241-8F8F-4BA8-B7DE-FBED2AF52ECB}">
  <sheetPr codeName="Sheet13">
    <tabColor theme="4"/>
  </sheetPr>
  <dimension ref="A1"/>
  <sheetViews>
    <sheetView view="pageBreakPreview" zoomScale="60" zoomScaleNormal="100" workbookViewId="0"/>
  </sheetViews>
  <sheetFormatPr defaultColWidth="8.33203125" defaultRowHeight="12.5"/>
  <cols>
    <col min="1" max="16384" width="8.33203125" style="2"/>
  </cols>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3FEA-37C0-4939-9713-E96B8C87E55E}">
  <sheetPr codeName="Sheet14">
    <tabColor theme="4" tint="0.79998168889431442"/>
    <pageSetUpPr fitToPage="1"/>
  </sheetPr>
  <dimension ref="A1:AX115"/>
  <sheetViews>
    <sheetView showGridLines="0" zoomScaleNormal="100" workbookViewId="0">
      <pane ySplit="14" topLeftCell="A15" activePane="bottomLeft" state="frozen"/>
      <selection activeCell="B1" sqref="B1"/>
      <selection pane="bottomLeft"/>
    </sheetView>
  </sheetViews>
  <sheetFormatPr defaultColWidth="7" defaultRowHeight="11.5"/>
  <cols>
    <col min="1" max="1" width="3.25" style="52" bestFit="1" customWidth="1"/>
    <col min="2" max="2" width="13.75" style="50" customWidth="1"/>
    <col min="3" max="3" width="11.83203125" style="51" customWidth="1"/>
    <col min="4" max="4" width="5.58203125" style="50" bestFit="1" customWidth="1"/>
    <col min="5" max="5" width="9.08203125" style="62" bestFit="1" customWidth="1"/>
    <col min="6" max="6" width="10.5" style="62" customWidth="1"/>
    <col min="7" max="7" width="6" style="50" customWidth="1"/>
    <col min="8" max="8" width="6.83203125" style="61" bestFit="1" customWidth="1"/>
    <col min="9" max="9" width="4.08203125" style="50" bestFit="1" customWidth="1"/>
    <col min="10" max="10" width="9.33203125" style="50" bestFit="1" customWidth="1"/>
    <col min="11" max="11" width="7.33203125" style="60" customWidth="1"/>
    <col min="12" max="12" width="12.58203125" style="50" bestFit="1" customWidth="1"/>
    <col min="13" max="13" width="11.75" style="60" customWidth="1"/>
    <col min="14" max="14" width="9" style="50" customWidth="1"/>
    <col min="15" max="15" width="15" style="50" bestFit="1" customWidth="1"/>
    <col min="16" max="16" width="13.33203125" style="50" bestFit="1" customWidth="1"/>
    <col min="17" max="17" width="17.5" style="50" bestFit="1" customWidth="1"/>
    <col min="18" max="20" width="17.5" style="50" customWidth="1"/>
    <col min="21" max="21" width="18.5" style="50" customWidth="1"/>
    <col min="22" max="25" width="17.5" style="50" customWidth="1"/>
    <col min="26" max="26" width="18.5" style="50" customWidth="1"/>
    <col min="27" max="30" width="17.5" style="50" customWidth="1"/>
    <col min="31" max="31" width="18.5" style="50" customWidth="1"/>
    <col min="32" max="32" width="17.5" style="50" customWidth="1"/>
    <col min="33" max="33" width="12.75" style="50" customWidth="1"/>
    <col min="34" max="34" width="10.08203125" style="50" bestFit="1" customWidth="1"/>
    <col min="35" max="36" width="10.08203125" style="50" customWidth="1"/>
    <col min="37" max="37" width="8.33203125" style="50" bestFit="1" customWidth="1"/>
    <col min="38" max="38" width="10.08203125" style="50" bestFit="1" customWidth="1"/>
    <col min="39" max="40" width="10.08203125" style="50" customWidth="1"/>
    <col min="41" max="41" width="8.08203125" style="50" bestFit="1" customWidth="1"/>
    <col min="42" max="42" width="10.08203125" style="50" bestFit="1" customWidth="1"/>
    <col min="43" max="44" width="10.08203125" style="50" customWidth="1"/>
    <col min="45" max="45" width="0.83203125" style="50" bestFit="1" customWidth="1"/>
    <col min="46" max="50" width="5.08203125" style="59" customWidth="1"/>
    <col min="51" max="16384" width="7" style="50"/>
  </cols>
  <sheetData>
    <row r="1" spans="1:50" ht="20.149999999999999" customHeight="1">
      <c r="A1" s="55" t="s">
        <v>1023</v>
      </c>
      <c r="B1" s="55"/>
      <c r="C1" s="56"/>
      <c r="D1" s="58"/>
    </row>
    <row r="2" spans="1:50" ht="20.149999999999999" customHeight="1">
      <c r="A2" s="55" t="s">
        <v>1024</v>
      </c>
      <c r="B2" s="57"/>
      <c r="C2" s="56"/>
      <c r="D2" s="55"/>
    </row>
    <row r="3" spans="1:50" ht="10.5" customHeight="1">
      <c r="A3" s="50"/>
      <c r="B3" s="52"/>
      <c r="C3" s="54"/>
    </row>
    <row r="4" spans="1:50" ht="5.5" customHeight="1">
      <c r="A4" s="47"/>
      <c r="B4" s="48"/>
      <c r="C4" s="54"/>
    </row>
    <row r="5" spans="1:50" ht="14">
      <c r="A5" s="47" t="s">
        <v>1025</v>
      </c>
      <c r="B5" s="48"/>
      <c r="C5" s="245"/>
      <c r="D5" s="246"/>
      <c r="E5" s="247"/>
    </row>
    <row r="6" spans="1:50" ht="14">
      <c r="A6" s="47" t="s">
        <v>1026</v>
      </c>
      <c r="B6" s="48"/>
      <c r="C6" s="245"/>
      <c r="D6" s="246"/>
      <c r="E6" s="247"/>
    </row>
    <row r="7" spans="1:50" ht="14">
      <c r="A7" s="47" t="s">
        <v>1027</v>
      </c>
      <c r="B7" s="48"/>
      <c r="C7" s="248"/>
      <c r="D7" s="249"/>
      <c r="E7" s="250"/>
    </row>
    <row r="8" spans="1:50" ht="14">
      <c r="A8" s="47" t="s">
        <v>1028</v>
      </c>
      <c r="B8" s="48"/>
      <c r="C8" s="245"/>
      <c r="D8" s="246"/>
      <c r="E8" s="247"/>
    </row>
    <row r="9" spans="1:50" ht="14">
      <c r="A9" s="47" t="s">
        <v>1029</v>
      </c>
      <c r="B9" s="48"/>
      <c r="C9" s="245"/>
      <c r="D9" s="246"/>
      <c r="E9" s="247"/>
    </row>
    <row r="10" spans="1:50" ht="14">
      <c r="A10" s="49"/>
      <c r="B10" s="49"/>
      <c r="C10" s="81"/>
    </row>
    <row r="11" spans="1:50" ht="18" customHeight="1">
      <c r="A11" s="48" t="s">
        <v>1030</v>
      </c>
      <c r="B11" s="48"/>
      <c r="C11" s="80"/>
      <c r="AG11" s="251" t="s">
        <v>1031</v>
      </c>
      <c r="AH11" s="251"/>
      <c r="AI11" s="251"/>
      <c r="AJ11" s="251"/>
      <c r="AK11" s="251"/>
      <c r="AL11" s="251"/>
      <c r="AM11" s="251"/>
      <c r="AN11" s="251"/>
      <c r="AO11" s="251"/>
      <c r="AP11" s="251"/>
      <c r="AQ11" s="51"/>
      <c r="AR11" s="51"/>
      <c r="AT11" s="242" t="s">
        <v>1032</v>
      </c>
      <c r="AU11" s="242"/>
      <c r="AV11" s="242"/>
      <c r="AW11" s="242"/>
      <c r="AX11" s="242"/>
    </row>
    <row r="12" spans="1:50" ht="18" customHeight="1">
      <c r="A12" s="82" t="s">
        <v>1033</v>
      </c>
      <c r="B12" s="82"/>
      <c r="C12" s="72"/>
      <c r="AG12" s="251"/>
      <c r="AH12" s="251"/>
      <c r="AI12" s="251"/>
      <c r="AJ12" s="251"/>
      <c r="AK12" s="251"/>
      <c r="AL12" s="251"/>
      <c r="AM12" s="251"/>
      <c r="AN12" s="251"/>
      <c r="AO12" s="251"/>
      <c r="AP12" s="251"/>
      <c r="AQ12" s="51"/>
      <c r="AR12" s="51"/>
      <c r="AT12" s="242"/>
      <c r="AU12" s="242"/>
      <c r="AV12" s="242"/>
      <c r="AW12" s="242"/>
      <c r="AX12" s="242"/>
    </row>
    <row r="13" spans="1:50" ht="22.5" customHeight="1">
      <c r="A13" s="83"/>
      <c r="B13" s="52"/>
      <c r="C13" s="54"/>
      <c r="AG13" s="243" t="s">
        <v>1034</v>
      </c>
      <c r="AH13" s="243"/>
      <c r="AI13" s="243"/>
      <c r="AJ13" s="243"/>
      <c r="AK13" s="243"/>
      <c r="AL13" s="243"/>
      <c r="AM13" s="243"/>
      <c r="AN13" s="243"/>
      <c r="AO13" s="243"/>
      <c r="AP13" s="243"/>
      <c r="AQ13" s="53"/>
      <c r="AR13" s="53"/>
      <c r="AT13" s="244" t="s">
        <v>1035</v>
      </c>
      <c r="AU13" s="244"/>
      <c r="AV13" s="244"/>
      <c r="AW13" s="244"/>
      <c r="AX13" s="244"/>
    </row>
    <row r="14" spans="1:50" ht="24">
      <c r="A14" s="53" t="s">
        <v>1036</v>
      </c>
      <c r="B14" s="53" t="s">
        <v>1037</v>
      </c>
      <c r="C14" s="53" t="s">
        <v>1038</v>
      </c>
      <c r="D14" s="53" t="s">
        <v>1039</v>
      </c>
      <c r="E14" s="79" t="s">
        <v>1040</v>
      </c>
      <c r="F14" s="79" t="s">
        <v>1041</v>
      </c>
      <c r="G14" s="53" t="s">
        <v>1042</v>
      </c>
      <c r="H14" s="78" t="s">
        <v>1043</v>
      </c>
      <c r="I14" s="53" t="s">
        <v>1044</v>
      </c>
      <c r="J14" s="53" t="s">
        <v>1045</v>
      </c>
      <c r="K14" s="77" t="s">
        <v>1046</v>
      </c>
      <c r="L14" s="53" t="s">
        <v>1047</v>
      </c>
      <c r="M14" s="77" t="s">
        <v>1048</v>
      </c>
      <c r="N14" s="53" t="s">
        <v>1049</v>
      </c>
      <c r="O14" s="53" t="s">
        <v>1050</v>
      </c>
      <c r="P14" s="53" t="s">
        <v>1051</v>
      </c>
      <c r="Q14" s="53" t="s">
        <v>1052</v>
      </c>
      <c r="R14" s="53" t="s">
        <v>1053</v>
      </c>
      <c r="S14" s="53" t="s">
        <v>1054</v>
      </c>
      <c r="T14" s="53" t="s">
        <v>1055</v>
      </c>
      <c r="U14" s="53" t="s">
        <v>1056</v>
      </c>
      <c r="V14" s="53" t="s">
        <v>1057</v>
      </c>
      <c r="W14" s="53" t="s">
        <v>1058</v>
      </c>
      <c r="X14" s="53" t="s">
        <v>1059</v>
      </c>
      <c r="Y14" s="53" t="s">
        <v>1060</v>
      </c>
      <c r="Z14" s="53" t="s">
        <v>1061</v>
      </c>
      <c r="AA14" s="53" t="s">
        <v>1062</v>
      </c>
      <c r="AB14" s="53" t="s">
        <v>1063</v>
      </c>
      <c r="AC14" s="53" t="s">
        <v>1064</v>
      </c>
      <c r="AD14" s="53" t="s">
        <v>1065</v>
      </c>
      <c r="AE14" s="53" t="s">
        <v>1066</v>
      </c>
      <c r="AF14" s="53" t="s">
        <v>1067</v>
      </c>
      <c r="AG14" s="53" t="s">
        <v>1068</v>
      </c>
      <c r="AH14" s="53" t="s">
        <v>1069</v>
      </c>
      <c r="AI14" s="53" t="s">
        <v>1070</v>
      </c>
      <c r="AJ14" s="53" t="s">
        <v>1071</v>
      </c>
      <c r="AK14" s="53" t="s">
        <v>1072</v>
      </c>
      <c r="AL14" s="53" t="s">
        <v>1073</v>
      </c>
      <c r="AM14" s="53" t="s">
        <v>1070</v>
      </c>
      <c r="AN14" s="76" t="s">
        <v>1071</v>
      </c>
      <c r="AO14" s="53" t="s">
        <v>1074</v>
      </c>
      <c r="AP14" s="53" t="s">
        <v>1075</v>
      </c>
      <c r="AQ14" s="53" t="s">
        <v>1070</v>
      </c>
      <c r="AR14" s="53" t="s">
        <v>1071</v>
      </c>
      <c r="AS14" s="75" t="s">
        <v>2</v>
      </c>
      <c r="AT14" s="74" t="s">
        <v>1076</v>
      </c>
      <c r="AU14" s="74" t="s">
        <v>1077</v>
      </c>
      <c r="AV14" s="74" t="s">
        <v>1078</v>
      </c>
      <c r="AW14" s="74" t="s">
        <v>1079</v>
      </c>
      <c r="AX14" s="74" t="s">
        <v>1080</v>
      </c>
    </row>
    <row r="15" spans="1:50" ht="16.5" thickBot="1">
      <c r="A15" s="84">
        <v>1</v>
      </c>
      <c r="B15" s="64"/>
      <c r="C15" s="64"/>
      <c r="D15" s="64"/>
      <c r="E15" s="72"/>
      <c r="F15" s="72"/>
      <c r="G15" s="71">
        <f t="shared" ref="G15:G78" si="0">+($C$11-E15)/365</f>
        <v>0</v>
      </c>
      <c r="H15" s="70"/>
      <c r="I15" s="64"/>
      <c r="J15" s="64"/>
      <c r="K15" s="69"/>
      <c r="L15" s="64"/>
      <c r="M15" s="68">
        <f t="shared" ref="M15:M78" si="1">IF(J15&gt;0,J15*$D$12,K15*40*52)</f>
        <v>0</v>
      </c>
      <c r="N15" s="64"/>
      <c r="O15" s="64"/>
      <c r="P15" s="64"/>
      <c r="Q15" s="66"/>
      <c r="R15" s="65"/>
      <c r="S15" s="64"/>
      <c r="T15" s="64"/>
      <c r="U15" s="64"/>
      <c r="V15" s="66"/>
      <c r="W15" s="65"/>
      <c r="X15" s="64"/>
      <c r="Y15" s="64"/>
      <c r="Z15" s="64"/>
      <c r="AA15" s="66"/>
      <c r="AB15" s="65"/>
      <c r="AC15" s="64"/>
      <c r="AD15" s="64"/>
      <c r="AE15" s="64"/>
      <c r="AF15" s="66"/>
      <c r="AG15" s="65"/>
      <c r="AH15" s="64"/>
      <c r="AI15" s="64"/>
      <c r="AJ15" s="66"/>
      <c r="AK15" s="65"/>
      <c r="AL15" s="64"/>
      <c r="AM15" s="64"/>
      <c r="AN15" s="66"/>
      <c r="AO15" s="65"/>
      <c r="AP15" s="64"/>
      <c r="AQ15" s="64"/>
      <c r="AR15" s="64"/>
      <c r="AS15" s="83"/>
      <c r="AT15" s="63"/>
      <c r="AU15" s="63"/>
      <c r="AV15" s="63"/>
      <c r="AW15" s="63"/>
      <c r="AX15" s="63"/>
    </row>
    <row r="16" spans="1:50" ht="16.5" thickTop="1">
      <c r="A16" s="85">
        <v>2</v>
      </c>
      <c r="B16" s="64"/>
      <c r="C16" s="64"/>
      <c r="D16" s="64"/>
      <c r="E16" s="72"/>
      <c r="F16" s="72"/>
      <c r="G16" s="71">
        <f t="shared" si="0"/>
        <v>0</v>
      </c>
      <c r="H16" s="70"/>
      <c r="I16" s="64"/>
      <c r="J16" s="64"/>
      <c r="K16" s="69"/>
      <c r="L16" s="64"/>
      <c r="M16" s="68">
        <f t="shared" si="1"/>
        <v>0</v>
      </c>
      <c r="N16" s="64"/>
      <c r="O16" s="64"/>
      <c r="P16" s="64"/>
      <c r="Q16" s="66"/>
      <c r="R16" s="65"/>
      <c r="S16" s="64"/>
      <c r="T16" s="64"/>
      <c r="U16" s="64"/>
      <c r="V16" s="66"/>
      <c r="W16" s="65"/>
      <c r="X16" s="64"/>
      <c r="Y16" s="64"/>
      <c r="Z16" s="64"/>
      <c r="AA16" s="66"/>
      <c r="AB16" s="65"/>
      <c r="AC16" s="64"/>
      <c r="AD16" s="64"/>
      <c r="AE16" s="64"/>
      <c r="AF16" s="66"/>
      <c r="AG16" s="65"/>
      <c r="AH16" s="64"/>
      <c r="AI16" s="64"/>
      <c r="AJ16" s="66"/>
      <c r="AK16" s="65"/>
      <c r="AL16" s="64"/>
      <c r="AM16" s="64"/>
      <c r="AN16" s="66"/>
      <c r="AO16" s="65"/>
      <c r="AP16" s="64"/>
      <c r="AQ16" s="64"/>
      <c r="AR16" s="64"/>
      <c r="AS16" s="83"/>
      <c r="AT16" s="63"/>
      <c r="AU16" s="63"/>
      <c r="AV16" s="63"/>
      <c r="AW16" s="63"/>
      <c r="AX16" s="63"/>
    </row>
    <row r="17" spans="1:50" ht="16">
      <c r="A17" s="85">
        <v>3</v>
      </c>
      <c r="B17" s="64"/>
      <c r="C17" s="64"/>
      <c r="D17" s="64"/>
      <c r="E17" s="72"/>
      <c r="F17" s="72"/>
      <c r="G17" s="71">
        <f t="shared" si="0"/>
        <v>0</v>
      </c>
      <c r="H17" s="70"/>
      <c r="I17" s="64"/>
      <c r="J17" s="64"/>
      <c r="K17" s="69"/>
      <c r="L17" s="64"/>
      <c r="M17" s="68">
        <f t="shared" si="1"/>
        <v>0</v>
      </c>
      <c r="N17" s="64"/>
      <c r="O17" s="64"/>
      <c r="P17" s="64"/>
      <c r="Q17" s="66"/>
      <c r="R17" s="65"/>
      <c r="S17" s="64"/>
      <c r="T17" s="64"/>
      <c r="U17" s="64"/>
      <c r="V17" s="66"/>
      <c r="W17" s="65"/>
      <c r="X17" s="64"/>
      <c r="Y17" s="64"/>
      <c r="Z17" s="64"/>
      <c r="AA17" s="66"/>
      <c r="AB17" s="65"/>
      <c r="AC17" s="64"/>
      <c r="AD17" s="64"/>
      <c r="AE17" s="64"/>
      <c r="AF17" s="66"/>
      <c r="AG17" s="65"/>
      <c r="AH17" s="64"/>
      <c r="AI17" s="64"/>
      <c r="AJ17" s="66"/>
      <c r="AK17" s="65"/>
      <c r="AL17" s="64"/>
      <c r="AM17" s="64"/>
      <c r="AN17" s="66"/>
      <c r="AO17" s="65"/>
      <c r="AP17" s="64"/>
      <c r="AQ17" s="64"/>
      <c r="AR17" s="64"/>
      <c r="AS17" s="83"/>
      <c r="AT17" s="63"/>
      <c r="AU17" s="63"/>
      <c r="AV17" s="63"/>
      <c r="AW17" s="63"/>
      <c r="AX17" s="63"/>
    </row>
    <row r="18" spans="1:50" ht="16">
      <c r="A18" s="85">
        <v>4</v>
      </c>
      <c r="B18" s="64"/>
      <c r="C18" s="64"/>
      <c r="D18" s="64"/>
      <c r="E18" s="72"/>
      <c r="F18" s="72"/>
      <c r="G18" s="71">
        <f t="shared" si="0"/>
        <v>0</v>
      </c>
      <c r="H18" s="70"/>
      <c r="I18" s="64"/>
      <c r="J18" s="64"/>
      <c r="K18" s="69"/>
      <c r="L18" s="64"/>
      <c r="M18" s="68">
        <f t="shared" si="1"/>
        <v>0</v>
      </c>
      <c r="N18" s="64"/>
      <c r="O18" s="64"/>
      <c r="P18" s="64"/>
      <c r="Q18" s="66"/>
      <c r="R18" s="65"/>
      <c r="S18" s="64"/>
      <c r="T18" s="64"/>
      <c r="U18" s="64"/>
      <c r="V18" s="66"/>
      <c r="W18" s="65"/>
      <c r="X18" s="64"/>
      <c r="Y18" s="64"/>
      <c r="Z18" s="64"/>
      <c r="AA18" s="66"/>
      <c r="AB18" s="65"/>
      <c r="AC18" s="64"/>
      <c r="AD18" s="64"/>
      <c r="AE18" s="64"/>
      <c r="AF18" s="66"/>
      <c r="AG18" s="65"/>
      <c r="AH18" s="64"/>
      <c r="AI18" s="64"/>
      <c r="AJ18" s="66"/>
      <c r="AK18" s="65"/>
      <c r="AL18" s="64"/>
      <c r="AM18" s="64"/>
      <c r="AN18" s="66"/>
      <c r="AO18" s="65"/>
      <c r="AP18" s="64"/>
      <c r="AQ18" s="64"/>
      <c r="AR18" s="64"/>
      <c r="AS18" s="83"/>
      <c r="AT18" s="63"/>
      <c r="AU18" s="63"/>
      <c r="AV18" s="63"/>
      <c r="AW18" s="63"/>
      <c r="AX18" s="63"/>
    </row>
    <row r="19" spans="1:50" ht="16">
      <c r="A19" s="85">
        <v>5</v>
      </c>
      <c r="B19" s="64"/>
      <c r="C19" s="64"/>
      <c r="D19" s="64"/>
      <c r="E19" s="72"/>
      <c r="F19" s="72"/>
      <c r="G19" s="71">
        <f t="shared" si="0"/>
        <v>0</v>
      </c>
      <c r="H19" s="70"/>
      <c r="I19" s="64"/>
      <c r="J19" s="64"/>
      <c r="K19" s="69"/>
      <c r="L19" s="64"/>
      <c r="M19" s="68">
        <f t="shared" si="1"/>
        <v>0</v>
      </c>
      <c r="N19" s="64"/>
      <c r="O19" s="64"/>
      <c r="P19" s="64"/>
      <c r="Q19" s="66"/>
      <c r="R19" s="65"/>
      <c r="S19" s="64"/>
      <c r="T19" s="64"/>
      <c r="U19" s="64"/>
      <c r="V19" s="66"/>
      <c r="W19" s="65"/>
      <c r="X19" s="64"/>
      <c r="Y19" s="64"/>
      <c r="Z19" s="64"/>
      <c r="AA19" s="66"/>
      <c r="AB19" s="65"/>
      <c r="AC19" s="64"/>
      <c r="AD19" s="64"/>
      <c r="AE19" s="64"/>
      <c r="AF19" s="66"/>
      <c r="AG19" s="65"/>
      <c r="AH19" s="64"/>
      <c r="AI19" s="64"/>
      <c r="AJ19" s="66"/>
      <c r="AK19" s="65"/>
      <c r="AL19" s="64"/>
      <c r="AM19" s="64"/>
      <c r="AN19" s="66"/>
      <c r="AO19" s="65"/>
      <c r="AP19" s="64"/>
      <c r="AQ19" s="64"/>
      <c r="AR19" s="64"/>
      <c r="AS19" s="83"/>
      <c r="AT19" s="63"/>
      <c r="AU19" s="63"/>
      <c r="AV19" s="63"/>
      <c r="AW19" s="63"/>
      <c r="AX19" s="63"/>
    </row>
    <row r="20" spans="1:50" ht="16">
      <c r="A20" s="85">
        <v>6</v>
      </c>
      <c r="B20" s="64"/>
      <c r="C20" s="64"/>
      <c r="D20" s="64"/>
      <c r="E20" s="72"/>
      <c r="F20" s="72"/>
      <c r="G20" s="71">
        <f t="shared" si="0"/>
        <v>0</v>
      </c>
      <c r="H20" s="70"/>
      <c r="I20" s="64"/>
      <c r="J20" s="64"/>
      <c r="K20" s="69"/>
      <c r="L20" s="64"/>
      <c r="M20" s="68">
        <f t="shared" si="1"/>
        <v>0</v>
      </c>
      <c r="N20" s="64"/>
      <c r="O20" s="64"/>
      <c r="P20" s="64"/>
      <c r="Q20" s="66"/>
      <c r="R20" s="65"/>
      <c r="S20" s="64"/>
      <c r="T20" s="64"/>
      <c r="U20" s="64"/>
      <c r="V20" s="66"/>
      <c r="W20" s="65"/>
      <c r="X20" s="64"/>
      <c r="Y20" s="64"/>
      <c r="Z20" s="64"/>
      <c r="AA20" s="66"/>
      <c r="AB20" s="65"/>
      <c r="AC20" s="64"/>
      <c r="AD20" s="64"/>
      <c r="AE20" s="64"/>
      <c r="AF20" s="66"/>
      <c r="AG20" s="65"/>
      <c r="AH20" s="64"/>
      <c r="AI20" s="64"/>
      <c r="AJ20" s="66"/>
      <c r="AK20" s="65"/>
      <c r="AL20" s="64"/>
      <c r="AM20" s="64"/>
      <c r="AN20" s="66"/>
      <c r="AO20" s="65"/>
      <c r="AP20" s="64"/>
      <c r="AQ20" s="64"/>
      <c r="AR20" s="64"/>
      <c r="AS20" s="83"/>
      <c r="AT20" s="63"/>
      <c r="AU20" s="63"/>
      <c r="AV20" s="63"/>
      <c r="AW20" s="63"/>
      <c r="AX20" s="63"/>
    </row>
    <row r="21" spans="1:50" ht="16">
      <c r="A21" s="85">
        <v>7</v>
      </c>
      <c r="B21" s="64"/>
      <c r="C21" s="64"/>
      <c r="D21" s="64"/>
      <c r="E21" s="72"/>
      <c r="F21" s="72"/>
      <c r="G21" s="71">
        <f t="shared" si="0"/>
        <v>0</v>
      </c>
      <c r="H21" s="70"/>
      <c r="I21" s="64"/>
      <c r="J21" s="64"/>
      <c r="K21" s="69"/>
      <c r="L21" s="64"/>
      <c r="M21" s="68">
        <f t="shared" si="1"/>
        <v>0</v>
      </c>
      <c r="N21" s="64"/>
      <c r="O21" s="64"/>
      <c r="P21" s="64"/>
      <c r="Q21" s="66"/>
      <c r="R21" s="65"/>
      <c r="S21" s="64"/>
      <c r="T21" s="64"/>
      <c r="U21" s="64"/>
      <c r="V21" s="66"/>
      <c r="W21" s="65"/>
      <c r="X21" s="64"/>
      <c r="Y21" s="64"/>
      <c r="Z21" s="64"/>
      <c r="AA21" s="66"/>
      <c r="AB21" s="65"/>
      <c r="AC21" s="64"/>
      <c r="AD21" s="64"/>
      <c r="AE21" s="64"/>
      <c r="AF21" s="66"/>
      <c r="AG21" s="65"/>
      <c r="AH21" s="64"/>
      <c r="AI21" s="64"/>
      <c r="AJ21" s="66"/>
      <c r="AK21" s="65"/>
      <c r="AL21" s="64"/>
      <c r="AM21" s="64"/>
      <c r="AN21" s="66"/>
      <c r="AO21" s="65"/>
      <c r="AP21" s="64"/>
      <c r="AQ21" s="64"/>
      <c r="AR21" s="64"/>
      <c r="AS21" s="83"/>
      <c r="AT21" s="63"/>
      <c r="AU21" s="63"/>
      <c r="AV21" s="63"/>
      <c r="AW21" s="63"/>
      <c r="AX21" s="63"/>
    </row>
    <row r="22" spans="1:50" ht="16">
      <c r="A22" s="85">
        <v>8</v>
      </c>
      <c r="B22" s="64"/>
      <c r="C22" s="64"/>
      <c r="D22" s="64"/>
      <c r="E22" s="72"/>
      <c r="F22" s="72"/>
      <c r="G22" s="71">
        <f t="shared" si="0"/>
        <v>0</v>
      </c>
      <c r="H22" s="70"/>
      <c r="I22" s="64"/>
      <c r="J22" s="64"/>
      <c r="K22" s="69"/>
      <c r="L22" s="64"/>
      <c r="M22" s="68">
        <f t="shared" si="1"/>
        <v>0</v>
      </c>
      <c r="N22" s="64"/>
      <c r="O22" s="64"/>
      <c r="P22" s="64"/>
      <c r="Q22" s="66"/>
      <c r="R22" s="65"/>
      <c r="S22" s="64"/>
      <c r="T22" s="64"/>
      <c r="U22" s="64"/>
      <c r="V22" s="66"/>
      <c r="W22" s="65"/>
      <c r="X22" s="64"/>
      <c r="Y22" s="64"/>
      <c r="Z22" s="64"/>
      <c r="AA22" s="66"/>
      <c r="AB22" s="65"/>
      <c r="AC22" s="64"/>
      <c r="AD22" s="64"/>
      <c r="AE22" s="64"/>
      <c r="AF22" s="66"/>
      <c r="AG22" s="65"/>
      <c r="AH22" s="64"/>
      <c r="AI22" s="64"/>
      <c r="AJ22" s="66"/>
      <c r="AK22" s="65"/>
      <c r="AL22" s="64"/>
      <c r="AM22" s="64"/>
      <c r="AN22" s="66"/>
      <c r="AO22" s="65"/>
      <c r="AP22" s="64"/>
      <c r="AQ22" s="64"/>
      <c r="AR22" s="64"/>
      <c r="AS22" s="83"/>
      <c r="AT22" s="63"/>
      <c r="AU22" s="63"/>
      <c r="AV22" s="63"/>
      <c r="AW22" s="63"/>
      <c r="AX22" s="63"/>
    </row>
    <row r="23" spans="1:50" ht="16">
      <c r="A23" s="85">
        <v>9</v>
      </c>
      <c r="B23" s="64"/>
      <c r="C23" s="64"/>
      <c r="D23" s="64"/>
      <c r="E23" s="72"/>
      <c r="F23" s="72"/>
      <c r="G23" s="71">
        <f t="shared" si="0"/>
        <v>0</v>
      </c>
      <c r="H23" s="70"/>
      <c r="I23" s="64"/>
      <c r="J23" s="64"/>
      <c r="K23" s="69"/>
      <c r="L23" s="64"/>
      <c r="M23" s="68">
        <f t="shared" si="1"/>
        <v>0</v>
      </c>
      <c r="N23" s="64"/>
      <c r="O23" s="64"/>
      <c r="P23" s="64"/>
      <c r="Q23" s="66"/>
      <c r="R23" s="65"/>
      <c r="S23" s="64"/>
      <c r="T23" s="64"/>
      <c r="U23" s="64"/>
      <c r="V23" s="66"/>
      <c r="W23" s="65"/>
      <c r="X23" s="64"/>
      <c r="Y23" s="64"/>
      <c r="Z23" s="64"/>
      <c r="AA23" s="66"/>
      <c r="AB23" s="65"/>
      <c r="AC23" s="64"/>
      <c r="AD23" s="64"/>
      <c r="AE23" s="64"/>
      <c r="AF23" s="66"/>
      <c r="AG23" s="65"/>
      <c r="AH23" s="64"/>
      <c r="AI23" s="64"/>
      <c r="AJ23" s="66"/>
      <c r="AK23" s="65"/>
      <c r="AL23" s="64"/>
      <c r="AM23" s="64"/>
      <c r="AN23" s="66"/>
      <c r="AO23" s="65"/>
      <c r="AP23" s="64"/>
      <c r="AQ23" s="64"/>
      <c r="AR23" s="64"/>
      <c r="AS23" s="83"/>
      <c r="AT23" s="63"/>
      <c r="AU23" s="63"/>
      <c r="AV23" s="63"/>
      <c r="AW23" s="63"/>
      <c r="AX23" s="63"/>
    </row>
    <row r="24" spans="1:50" ht="16">
      <c r="A24" s="85">
        <v>10</v>
      </c>
      <c r="B24" s="64"/>
      <c r="C24" s="64"/>
      <c r="D24" s="64"/>
      <c r="E24" s="72"/>
      <c r="F24" s="72"/>
      <c r="G24" s="71">
        <f t="shared" si="0"/>
        <v>0</v>
      </c>
      <c r="H24" s="70"/>
      <c r="I24" s="64"/>
      <c r="J24" s="64"/>
      <c r="K24" s="69"/>
      <c r="L24" s="64"/>
      <c r="M24" s="68">
        <f t="shared" si="1"/>
        <v>0</v>
      </c>
      <c r="N24" s="64"/>
      <c r="O24" s="64"/>
      <c r="P24" s="64"/>
      <c r="Q24" s="66"/>
      <c r="R24" s="65"/>
      <c r="S24" s="64"/>
      <c r="T24" s="64"/>
      <c r="U24" s="64"/>
      <c r="V24" s="66"/>
      <c r="W24" s="65"/>
      <c r="X24" s="64"/>
      <c r="Y24" s="64"/>
      <c r="Z24" s="64"/>
      <c r="AA24" s="66"/>
      <c r="AB24" s="65"/>
      <c r="AC24" s="64"/>
      <c r="AD24" s="64"/>
      <c r="AE24" s="64"/>
      <c r="AF24" s="66"/>
      <c r="AG24" s="65"/>
      <c r="AH24" s="64"/>
      <c r="AI24" s="64"/>
      <c r="AJ24" s="66"/>
      <c r="AK24" s="65"/>
      <c r="AL24" s="64"/>
      <c r="AM24" s="64"/>
      <c r="AN24" s="66"/>
      <c r="AO24" s="65"/>
      <c r="AP24" s="64"/>
      <c r="AQ24" s="64"/>
      <c r="AR24" s="64"/>
      <c r="AS24" s="83"/>
      <c r="AT24" s="63"/>
      <c r="AU24" s="63"/>
      <c r="AV24" s="63"/>
      <c r="AW24" s="63"/>
      <c r="AX24" s="63"/>
    </row>
    <row r="25" spans="1:50" ht="16">
      <c r="A25" s="85">
        <v>11</v>
      </c>
      <c r="B25" s="64"/>
      <c r="C25" s="64"/>
      <c r="D25" s="64"/>
      <c r="E25" s="72"/>
      <c r="F25" s="72"/>
      <c r="G25" s="71">
        <f t="shared" si="0"/>
        <v>0</v>
      </c>
      <c r="H25" s="70"/>
      <c r="I25" s="64"/>
      <c r="J25" s="64"/>
      <c r="K25" s="69"/>
      <c r="L25" s="64"/>
      <c r="M25" s="68">
        <f t="shared" si="1"/>
        <v>0</v>
      </c>
      <c r="N25" s="64"/>
      <c r="O25" s="64"/>
      <c r="P25" s="64"/>
      <c r="Q25" s="66"/>
      <c r="R25" s="65"/>
      <c r="S25" s="64"/>
      <c r="T25" s="64"/>
      <c r="U25" s="64"/>
      <c r="V25" s="66"/>
      <c r="W25" s="65"/>
      <c r="X25" s="64"/>
      <c r="Y25" s="64"/>
      <c r="Z25" s="64"/>
      <c r="AA25" s="66"/>
      <c r="AB25" s="65"/>
      <c r="AC25" s="64"/>
      <c r="AD25" s="64"/>
      <c r="AE25" s="64"/>
      <c r="AF25" s="66"/>
      <c r="AG25" s="65"/>
      <c r="AH25" s="64"/>
      <c r="AI25" s="64"/>
      <c r="AJ25" s="66"/>
      <c r="AK25" s="65"/>
      <c r="AL25" s="64"/>
      <c r="AM25" s="64"/>
      <c r="AN25" s="66"/>
      <c r="AO25" s="65"/>
      <c r="AP25" s="64"/>
      <c r="AQ25" s="64"/>
      <c r="AR25" s="64"/>
      <c r="AS25" s="83"/>
      <c r="AT25" s="63"/>
      <c r="AU25" s="63"/>
      <c r="AV25" s="63"/>
      <c r="AW25" s="63"/>
      <c r="AX25" s="63"/>
    </row>
    <row r="26" spans="1:50" ht="16">
      <c r="A26" s="85">
        <v>12</v>
      </c>
      <c r="B26" s="64"/>
      <c r="C26" s="64"/>
      <c r="D26" s="64"/>
      <c r="E26" s="72"/>
      <c r="F26" s="72"/>
      <c r="G26" s="71">
        <f t="shared" si="0"/>
        <v>0</v>
      </c>
      <c r="H26" s="70"/>
      <c r="I26" s="64"/>
      <c r="J26" s="64"/>
      <c r="K26" s="69"/>
      <c r="L26" s="64"/>
      <c r="M26" s="68">
        <f t="shared" si="1"/>
        <v>0</v>
      </c>
      <c r="N26" s="64"/>
      <c r="O26" s="64"/>
      <c r="P26" s="64"/>
      <c r="Q26" s="66"/>
      <c r="R26" s="65"/>
      <c r="S26" s="64"/>
      <c r="T26" s="64"/>
      <c r="U26" s="64"/>
      <c r="V26" s="66"/>
      <c r="W26" s="65"/>
      <c r="X26" s="64"/>
      <c r="Y26" s="64"/>
      <c r="Z26" s="64"/>
      <c r="AA26" s="66"/>
      <c r="AB26" s="65"/>
      <c r="AC26" s="64"/>
      <c r="AD26" s="64"/>
      <c r="AE26" s="64"/>
      <c r="AF26" s="66"/>
      <c r="AG26" s="65"/>
      <c r="AH26" s="64"/>
      <c r="AI26" s="64"/>
      <c r="AJ26" s="66"/>
      <c r="AK26" s="65"/>
      <c r="AL26" s="64"/>
      <c r="AM26" s="64"/>
      <c r="AN26" s="66"/>
      <c r="AO26" s="65"/>
      <c r="AP26" s="64"/>
      <c r="AQ26" s="64"/>
      <c r="AR26" s="64"/>
      <c r="AS26" s="83"/>
      <c r="AT26" s="63"/>
      <c r="AU26" s="63"/>
      <c r="AV26" s="63"/>
      <c r="AW26" s="63"/>
      <c r="AX26" s="63"/>
    </row>
    <row r="27" spans="1:50" ht="16">
      <c r="A27" s="85">
        <v>13</v>
      </c>
      <c r="B27" s="64"/>
      <c r="C27" s="64"/>
      <c r="D27" s="64"/>
      <c r="E27" s="72"/>
      <c r="F27" s="72"/>
      <c r="G27" s="71">
        <f t="shared" si="0"/>
        <v>0</v>
      </c>
      <c r="H27" s="70"/>
      <c r="I27" s="64"/>
      <c r="J27" s="64"/>
      <c r="K27" s="69"/>
      <c r="L27" s="64"/>
      <c r="M27" s="68">
        <f t="shared" si="1"/>
        <v>0</v>
      </c>
      <c r="N27" s="64"/>
      <c r="O27" s="64"/>
      <c r="P27" s="64"/>
      <c r="Q27" s="66"/>
      <c r="R27" s="65"/>
      <c r="S27" s="64"/>
      <c r="T27" s="64"/>
      <c r="U27" s="64"/>
      <c r="V27" s="66"/>
      <c r="W27" s="65"/>
      <c r="X27" s="64"/>
      <c r="Y27" s="64"/>
      <c r="Z27" s="64"/>
      <c r="AA27" s="66"/>
      <c r="AB27" s="65"/>
      <c r="AC27" s="64"/>
      <c r="AD27" s="64"/>
      <c r="AE27" s="64"/>
      <c r="AF27" s="66"/>
      <c r="AG27" s="65"/>
      <c r="AH27" s="64"/>
      <c r="AI27" s="64"/>
      <c r="AJ27" s="66"/>
      <c r="AK27" s="65"/>
      <c r="AL27" s="64"/>
      <c r="AM27" s="64"/>
      <c r="AN27" s="66"/>
      <c r="AO27" s="65"/>
      <c r="AP27" s="64"/>
      <c r="AQ27" s="64"/>
      <c r="AR27" s="64"/>
      <c r="AS27" s="83"/>
      <c r="AT27" s="63"/>
      <c r="AU27" s="63"/>
      <c r="AV27" s="63"/>
      <c r="AW27" s="63"/>
      <c r="AX27" s="63"/>
    </row>
    <row r="28" spans="1:50" ht="16">
      <c r="A28" s="85">
        <v>14</v>
      </c>
      <c r="B28" s="64"/>
      <c r="C28" s="64"/>
      <c r="D28" s="64"/>
      <c r="E28" s="72"/>
      <c r="F28" s="72"/>
      <c r="G28" s="71">
        <f t="shared" si="0"/>
        <v>0</v>
      </c>
      <c r="H28" s="70"/>
      <c r="I28" s="64"/>
      <c r="J28" s="64"/>
      <c r="K28" s="69"/>
      <c r="L28" s="64"/>
      <c r="M28" s="68">
        <f t="shared" si="1"/>
        <v>0</v>
      </c>
      <c r="N28" s="64"/>
      <c r="O28" s="64"/>
      <c r="P28" s="64"/>
      <c r="Q28" s="66"/>
      <c r="R28" s="65"/>
      <c r="S28" s="64"/>
      <c r="T28" s="64"/>
      <c r="U28" s="64"/>
      <c r="V28" s="66"/>
      <c r="W28" s="65"/>
      <c r="X28" s="64"/>
      <c r="Y28" s="64"/>
      <c r="Z28" s="64"/>
      <c r="AA28" s="66"/>
      <c r="AB28" s="65"/>
      <c r="AC28" s="64"/>
      <c r="AD28" s="64"/>
      <c r="AE28" s="64"/>
      <c r="AF28" s="66"/>
      <c r="AG28" s="65"/>
      <c r="AH28" s="64"/>
      <c r="AI28" s="64"/>
      <c r="AJ28" s="66"/>
      <c r="AK28" s="65"/>
      <c r="AL28" s="64"/>
      <c r="AM28" s="64"/>
      <c r="AN28" s="66"/>
      <c r="AO28" s="65"/>
      <c r="AP28" s="64"/>
      <c r="AQ28" s="64"/>
      <c r="AR28" s="64"/>
      <c r="AS28" s="83"/>
      <c r="AT28" s="63"/>
      <c r="AU28" s="63"/>
      <c r="AV28" s="63"/>
      <c r="AW28" s="63"/>
      <c r="AX28" s="63"/>
    </row>
    <row r="29" spans="1:50" ht="16">
      <c r="A29" s="85">
        <v>15</v>
      </c>
      <c r="B29" s="64"/>
      <c r="C29" s="64"/>
      <c r="D29" s="64"/>
      <c r="E29" s="72"/>
      <c r="F29" s="72"/>
      <c r="G29" s="71">
        <f t="shared" si="0"/>
        <v>0</v>
      </c>
      <c r="H29" s="70"/>
      <c r="I29" s="64"/>
      <c r="J29" s="64"/>
      <c r="K29" s="69"/>
      <c r="L29" s="64"/>
      <c r="M29" s="68">
        <f t="shared" si="1"/>
        <v>0</v>
      </c>
      <c r="N29" s="64"/>
      <c r="O29" s="64"/>
      <c r="P29" s="64"/>
      <c r="Q29" s="66"/>
      <c r="R29" s="65"/>
      <c r="S29" s="64"/>
      <c r="T29" s="64"/>
      <c r="U29" s="64"/>
      <c r="V29" s="66"/>
      <c r="W29" s="65"/>
      <c r="X29" s="64"/>
      <c r="Y29" s="64"/>
      <c r="Z29" s="64"/>
      <c r="AA29" s="66"/>
      <c r="AB29" s="65"/>
      <c r="AC29" s="64"/>
      <c r="AD29" s="64"/>
      <c r="AE29" s="64"/>
      <c r="AF29" s="66"/>
      <c r="AG29" s="65"/>
      <c r="AH29" s="64"/>
      <c r="AI29" s="64"/>
      <c r="AJ29" s="66"/>
      <c r="AK29" s="65"/>
      <c r="AL29" s="64"/>
      <c r="AM29" s="64"/>
      <c r="AN29" s="66"/>
      <c r="AO29" s="65"/>
      <c r="AP29" s="64"/>
      <c r="AQ29" s="64"/>
      <c r="AR29" s="64"/>
      <c r="AS29" s="83"/>
      <c r="AT29" s="63"/>
      <c r="AU29" s="63"/>
      <c r="AV29" s="63"/>
      <c r="AW29" s="63"/>
      <c r="AX29" s="63"/>
    </row>
    <row r="30" spans="1:50" ht="16">
      <c r="A30" s="85">
        <v>16</v>
      </c>
      <c r="B30" s="64"/>
      <c r="C30" s="64"/>
      <c r="D30" s="64"/>
      <c r="E30" s="72"/>
      <c r="F30" s="72"/>
      <c r="G30" s="71">
        <f t="shared" si="0"/>
        <v>0</v>
      </c>
      <c r="H30" s="70"/>
      <c r="I30" s="64"/>
      <c r="J30" s="64"/>
      <c r="K30" s="69"/>
      <c r="L30" s="64"/>
      <c r="M30" s="68">
        <f t="shared" si="1"/>
        <v>0</v>
      </c>
      <c r="N30" s="64"/>
      <c r="O30" s="64"/>
      <c r="P30" s="64"/>
      <c r="Q30" s="66"/>
      <c r="R30" s="65"/>
      <c r="S30" s="64"/>
      <c r="T30" s="64"/>
      <c r="U30" s="64"/>
      <c r="V30" s="66"/>
      <c r="W30" s="65"/>
      <c r="X30" s="64"/>
      <c r="Y30" s="64"/>
      <c r="Z30" s="64"/>
      <c r="AA30" s="66"/>
      <c r="AB30" s="65"/>
      <c r="AC30" s="64"/>
      <c r="AD30" s="64"/>
      <c r="AE30" s="64"/>
      <c r="AF30" s="66"/>
      <c r="AG30" s="65"/>
      <c r="AH30" s="64"/>
      <c r="AI30" s="64"/>
      <c r="AJ30" s="66"/>
      <c r="AK30" s="65"/>
      <c r="AL30" s="64"/>
      <c r="AM30" s="64"/>
      <c r="AN30" s="66"/>
      <c r="AO30" s="65"/>
      <c r="AP30" s="64"/>
      <c r="AQ30" s="64"/>
      <c r="AR30" s="64"/>
      <c r="AS30" s="83"/>
      <c r="AT30" s="63"/>
      <c r="AU30" s="63"/>
      <c r="AV30" s="63"/>
      <c r="AW30" s="63"/>
      <c r="AX30" s="63"/>
    </row>
    <row r="31" spans="1:50" ht="16">
      <c r="A31" s="85">
        <v>17</v>
      </c>
      <c r="B31" s="64"/>
      <c r="C31" s="64"/>
      <c r="D31" s="64"/>
      <c r="E31" s="72"/>
      <c r="F31" s="72"/>
      <c r="G31" s="71">
        <f t="shared" si="0"/>
        <v>0</v>
      </c>
      <c r="H31" s="70"/>
      <c r="I31" s="64"/>
      <c r="J31" s="64"/>
      <c r="K31" s="69"/>
      <c r="L31" s="64"/>
      <c r="M31" s="68">
        <f t="shared" si="1"/>
        <v>0</v>
      </c>
      <c r="N31" s="64"/>
      <c r="O31" s="64"/>
      <c r="P31" s="64"/>
      <c r="Q31" s="66"/>
      <c r="R31" s="65"/>
      <c r="S31" s="64"/>
      <c r="T31" s="64"/>
      <c r="U31" s="64"/>
      <c r="V31" s="66"/>
      <c r="W31" s="65"/>
      <c r="X31" s="64"/>
      <c r="Y31" s="64"/>
      <c r="Z31" s="64"/>
      <c r="AA31" s="66"/>
      <c r="AB31" s="65"/>
      <c r="AC31" s="64"/>
      <c r="AD31" s="64"/>
      <c r="AE31" s="64"/>
      <c r="AF31" s="66"/>
      <c r="AG31" s="65"/>
      <c r="AH31" s="64"/>
      <c r="AI31" s="64"/>
      <c r="AJ31" s="66"/>
      <c r="AK31" s="65"/>
      <c r="AL31" s="64"/>
      <c r="AM31" s="64"/>
      <c r="AN31" s="66"/>
      <c r="AO31" s="65"/>
      <c r="AP31" s="64"/>
      <c r="AQ31" s="64"/>
      <c r="AR31" s="64"/>
      <c r="AS31" s="83"/>
      <c r="AT31" s="63"/>
      <c r="AU31" s="63"/>
      <c r="AV31" s="63"/>
      <c r="AW31" s="63"/>
      <c r="AX31" s="63"/>
    </row>
    <row r="32" spans="1:50" ht="16">
      <c r="A32" s="85">
        <v>18</v>
      </c>
      <c r="B32" s="64"/>
      <c r="C32" s="64"/>
      <c r="D32" s="64"/>
      <c r="E32" s="72"/>
      <c r="F32" s="72"/>
      <c r="G32" s="71">
        <f t="shared" si="0"/>
        <v>0</v>
      </c>
      <c r="H32" s="70"/>
      <c r="I32" s="64"/>
      <c r="J32" s="64"/>
      <c r="K32" s="69"/>
      <c r="L32" s="64"/>
      <c r="M32" s="68">
        <f t="shared" si="1"/>
        <v>0</v>
      </c>
      <c r="N32" s="64"/>
      <c r="O32" s="64"/>
      <c r="P32" s="64"/>
      <c r="Q32" s="66"/>
      <c r="R32" s="65"/>
      <c r="S32" s="64"/>
      <c r="T32" s="64"/>
      <c r="U32" s="64"/>
      <c r="V32" s="66"/>
      <c r="W32" s="65"/>
      <c r="X32" s="64"/>
      <c r="Y32" s="64"/>
      <c r="Z32" s="64"/>
      <c r="AA32" s="66"/>
      <c r="AB32" s="65"/>
      <c r="AC32" s="64"/>
      <c r="AD32" s="64"/>
      <c r="AE32" s="64"/>
      <c r="AF32" s="66"/>
      <c r="AG32" s="65"/>
      <c r="AH32" s="64"/>
      <c r="AI32" s="64"/>
      <c r="AJ32" s="66"/>
      <c r="AK32" s="65"/>
      <c r="AL32" s="64"/>
      <c r="AM32" s="64"/>
      <c r="AN32" s="66"/>
      <c r="AO32" s="65"/>
      <c r="AP32" s="64"/>
      <c r="AQ32" s="64"/>
      <c r="AR32" s="64"/>
      <c r="AS32" s="83"/>
      <c r="AT32" s="63"/>
      <c r="AU32" s="63"/>
      <c r="AV32" s="63"/>
      <c r="AW32" s="63"/>
      <c r="AX32" s="63"/>
    </row>
    <row r="33" spans="1:50" ht="16">
      <c r="A33" s="85">
        <v>19</v>
      </c>
      <c r="B33" s="64"/>
      <c r="C33" s="64"/>
      <c r="D33" s="64"/>
      <c r="E33" s="72"/>
      <c r="F33" s="72"/>
      <c r="G33" s="71">
        <f t="shared" si="0"/>
        <v>0</v>
      </c>
      <c r="H33" s="70"/>
      <c r="I33" s="64"/>
      <c r="J33" s="64"/>
      <c r="K33" s="69"/>
      <c r="L33" s="64"/>
      <c r="M33" s="68">
        <f t="shared" si="1"/>
        <v>0</v>
      </c>
      <c r="N33" s="64"/>
      <c r="O33" s="64"/>
      <c r="P33" s="64"/>
      <c r="Q33" s="66"/>
      <c r="R33" s="65"/>
      <c r="S33" s="64"/>
      <c r="T33" s="64"/>
      <c r="U33" s="64"/>
      <c r="V33" s="66"/>
      <c r="W33" s="65"/>
      <c r="X33" s="64"/>
      <c r="Y33" s="64"/>
      <c r="Z33" s="64"/>
      <c r="AA33" s="66"/>
      <c r="AB33" s="65"/>
      <c r="AC33" s="64"/>
      <c r="AD33" s="64"/>
      <c r="AE33" s="64"/>
      <c r="AF33" s="66"/>
      <c r="AG33" s="65"/>
      <c r="AH33" s="64"/>
      <c r="AI33" s="64"/>
      <c r="AJ33" s="66"/>
      <c r="AK33" s="65"/>
      <c r="AL33" s="64"/>
      <c r="AM33" s="64"/>
      <c r="AN33" s="66"/>
      <c r="AO33" s="65"/>
      <c r="AP33" s="64"/>
      <c r="AQ33" s="64"/>
      <c r="AR33" s="64"/>
      <c r="AS33" s="83"/>
      <c r="AT33" s="63"/>
      <c r="AU33" s="63"/>
      <c r="AV33" s="63"/>
      <c r="AW33" s="63"/>
      <c r="AX33" s="63"/>
    </row>
    <row r="34" spans="1:50" ht="16">
      <c r="A34" s="85">
        <v>20</v>
      </c>
      <c r="B34" s="64"/>
      <c r="C34" s="64"/>
      <c r="D34" s="64"/>
      <c r="E34" s="72"/>
      <c r="F34" s="72"/>
      <c r="G34" s="71">
        <f t="shared" si="0"/>
        <v>0</v>
      </c>
      <c r="H34" s="70"/>
      <c r="I34" s="64"/>
      <c r="J34" s="64"/>
      <c r="K34" s="69"/>
      <c r="L34" s="64"/>
      <c r="M34" s="68">
        <f t="shared" si="1"/>
        <v>0</v>
      </c>
      <c r="N34" s="64"/>
      <c r="O34" s="64"/>
      <c r="P34" s="64"/>
      <c r="Q34" s="66"/>
      <c r="R34" s="65"/>
      <c r="S34" s="64"/>
      <c r="T34" s="64"/>
      <c r="U34" s="64"/>
      <c r="V34" s="66"/>
      <c r="W34" s="65"/>
      <c r="X34" s="64"/>
      <c r="Y34" s="64"/>
      <c r="Z34" s="64"/>
      <c r="AA34" s="66"/>
      <c r="AB34" s="65"/>
      <c r="AC34" s="64"/>
      <c r="AD34" s="64"/>
      <c r="AE34" s="64"/>
      <c r="AF34" s="66"/>
      <c r="AG34" s="65"/>
      <c r="AH34" s="64"/>
      <c r="AI34" s="64"/>
      <c r="AJ34" s="66"/>
      <c r="AK34" s="65"/>
      <c r="AL34" s="64"/>
      <c r="AM34" s="64"/>
      <c r="AN34" s="66"/>
      <c r="AO34" s="65"/>
      <c r="AP34" s="64"/>
      <c r="AQ34" s="64"/>
      <c r="AR34" s="64"/>
      <c r="AS34" s="83"/>
      <c r="AT34" s="63"/>
      <c r="AU34" s="63"/>
      <c r="AV34" s="63"/>
      <c r="AW34" s="63"/>
      <c r="AX34" s="63"/>
    </row>
    <row r="35" spans="1:50" ht="16">
      <c r="A35" s="85">
        <v>21</v>
      </c>
      <c r="B35" s="64"/>
      <c r="C35" s="64"/>
      <c r="D35" s="64"/>
      <c r="E35" s="72"/>
      <c r="F35" s="72"/>
      <c r="G35" s="71">
        <f t="shared" si="0"/>
        <v>0</v>
      </c>
      <c r="H35" s="70"/>
      <c r="I35" s="64"/>
      <c r="J35" s="64"/>
      <c r="K35" s="69"/>
      <c r="L35" s="64"/>
      <c r="M35" s="68">
        <f t="shared" si="1"/>
        <v>0</v>
      </c>
      <c r="N35" s="64"/>
      <c r="O35" s="64"/>
      <c r="P35" s="64"/>
      <c r="Q35" s="66"/>
      <c r="R35" s="65"/>
      <c r="S35" s="64"/>
      <c r="T35" s="64"/>
      <c r="U35" s="64"/>
      <c r="V35" s="66"/>
      <c r="W35" s="65"/>
      <c r="X35" s="64"/>
      <c r="Y35" s="64"/>
      <c r="Z35" s="64"/>
      <c r="AA35" s="66"/>
      <c r="AB35" s="65"/>
      <c r="AC35" s="64"/>
      <c r="AD35" s="64"/>
      <c r="AE35" s="64"/>
      <c r="AF35" s="66"/>
      <c r="AG35" s="65"/>
      <c r="AH35" s="64"/>
      <c r="AI35" s="64"/>
      <c r="AJ35" s="66"/>
      <c r="AK35" s="65"/>
      <c r="AL35" s="64"/>
      <c r="AM35" s="64"/>
      <c r="AN35" s="66"/>
      <c r="AO35" s="65"/>
      <c r="AP35" s="64"/>
      <c r="AQ35" s="64"/>
      <c r="AR35" s="64"/>
      <c r="AS35" s="83"/>
      <c r="AT35" s="63"/>
      <c r="AU35" s="63"/>
      <c r="AV35" s="63"/>
      <c r="AW35" s="63"/>
      <c r="AX35" s="63"/>
    </row>
    <row r="36" spans="1:50" ht="16">
      <c r="A36" s="85">
        <v>22</v>
      </c>
      <c r="B36" s="64"/>
      <c r="C36" s="64"/>
      <c r="D36" s="64"/>
      <c r="E36" s="72"/>
      <c r="F36" s="72"/>
      <c r="G36" s="71">
        <f t="shared" si="0"/>
        <v>0</v>
      </c>
      <c r="H36" s="70"/>
      <c r="I36" s="64"/>
      <c r="J36" s="64"/>
      <c r="K36" s="69"/>
      <c r="L36" s="64"/>
      <c r="M36" s="68">
        <f t="shared" si="1"/>
        <v>0</v>
      </c>
      <c r="N36" s="64"/>
      <c r="O36" s="64"/>
      <c r="P36" s="64"/>
      <c r="Q36" s="66"/>
      <c r="R36" s="65"/>
      <c r="S36" s="64"/>
      <c r="T36" s="64"/>
      <c r="U36" s="64"/>
      <c r="V36" s="66"/>
      <c r="W36" s="65"/>
      <c r="X36" s="64"/>
      <c r="Y36" s="64"/>
      <c r="Z36" s="64"/>
      <c r="AA36" s="66"/>
      <c r="AB36" s="65"/>
      <c r="AC36" s="64"/>
      <c r="AD36" s="64"/>
      <c r="AE36" s="64"/>
      <c r="AF36" s="66"/>
      <c r="AG36" s="65"/>
      <c r="AH36" s="64"/>
      <c r="AI36" s="64"/>
      <c r="AJ36" s="66"/>
      <c r="AK36" s="65"/>
      <c r="AL36" s="64"/>
      <c r="AM36" s="64"/>
      <c r="AN36" s="66"/>
      <c r="AO36" s="65"/>
      <c r="AP36" s="64"/>
      <c r="AQ36" s="64"/>
      <c r="AR36" s="64"/>
      <c r="AS36" s="83"/>
      <c r="AT36" s="63"/>
      <c r="AU36" s="63"/>
      <c r="AV36" s="63"/>
      <c r="AW36" s="63"/>
      <c r="AX36" s="63"/>
    </row>
    <row r="37" spans="1:50" ht="16">
      <c r="A37" s="85">
        <v>23</v>
      </c>
      <c r="B37" s="64"/>
      <c r="C37" s="64"/>
      <c r="D37" s="64"/>
      <c r="E37" s="72"/>
      <c r="F37" s="72"/>
      <c r="G37" s="71">
        <f t="shared" si="0"/>
        <v>0</v>
      </c>
      <c r="H37" s="70"/>
      <c r="I37" s="64"/>
      <c r="J37" s="64"/>
      <c r="K37" s="69"/>
      <c r="L37" s="64"/>
      <c r="M37" s="68">
        <f t="shared" si="1"/>
        <v>0</v>
      </c>
      <c r="N37" s="64"/>
      <c r="O37" s="64"/>
      <c r="P37" s="64"/>
      <c r="Q37" s="66"/>
      <c r="R37" s="65"/>
      <c r="S37" s="64"/>
      <c r="T37" s="64"/>
      <c r="U37" s="64"/>
      <c r="V37" s="66"/>
      <c r="W37" s="65"/>
      <c r="X37" s="64"/>
      <c r="Y37" s="64"/>
      <c r="Z37" s="64"/>
      <c r="AA37" s="66"/>
      <c r="AB37" s="65"/>
      <c r="AC37" s="64"/>
      <c r="AD37" s="64"/>
      <c r="AE37" s="64"/>
      <c r="AF37" s="66"/>
      <c r="AG37" s="65"/>
      <c r="AH37" s="64"/>
      <c r="AI37" s="64"/>
      <c r="AJ37" s="66"/>
      <c r="AK37" s="65"/>
      <c r="AL37" s="64"/>
      <c r="AM37" s="64"/>
      <c r="AN37" s="66"/>
      <c r="AO37" s="65"/>
      <c r="AP37" s="64"/>
      <c r="AQ37" s="64"/>
      <c r="AR37" s="64"/>
      <c r="AS37" s="83"/>
      <c r="AT37" s="63"/>
      <c r="AU37" s="63"/>
      <c r="AV37" s="63"/>
      <c r="AW37" s="63"/>
      <c r="AX37" s="63"/>
    </row>
    <row r="38" spans="1:50" ht="16">
      <c r="A38" s="85">
        <v>24</v>
      </c>
      <c r="B38" s="64"/>
      <c r="C38" s="64"/>
      <c r="D38" s="64"/>
      <c r="E38" s="72"/>
      <c r="F38" s="72"/>
      <c r="G38" s="71">
        <f t="shared" si="0"/>
        <v>0</v>
      </c>
      <c r="H38" s="70"/>
      <c r="I38" s="64"/>
      <c r="J38" s="64"/>
      <c r="K38" s="69"/>
      <c r="L38" s="64"/>
      <c r="M38" s="68">
        <f t="shared" si="1"/>
        <v>0</v>
      </c>
      <c r="N38" s="64"/>
      <c r="O38" s="64"/>
      <c r="P38" s="64"/>
      <c r="Q38" s="66"/>
      <c r="R38" s="65"/>
      <c r="S38" s="64"/>
      <c r="T38" s="64"/>
      <c r="U38" s="64"/>
      <c r="V38" s="66"/>
      <c r="W38" s="65"/>
      <c r="X38" s="64"/>
      <c r="Y38" s="64"/>
      <c r="Z38" s="64"/>
      <c r="AA38" s="66"/>
      <c r="AB38" s="65"/>
      <c r="AC38" s="64"/>
      <c r="AD38" s="64"/>
      <c r="AE38" s="64"/>
      <c r="AF38" s="66"/>
      <c r="AG38" s="65"/>
      <c r="AH38" s="64"/>
      <c r="AI38" s="64"/>
      <c r="AJ38" s="66"/>
      <c r="AK38" s="65"/>
      <c r="AL38" s="64"/>
      <c r="AM38" s="64"/>
      <c r="AN38" s="66"/>
      <c r="AO38" s="65"/>
      <c r="AP38" s="64"/>
      <c r="AQ38" s="64"/>
      <c r="AR38" s="64"/>
      <c r="AS38" s="83"/>
      <c r="AT38" s="63"/>
      <c r="AU38" s="63"/>
      <c r="AV38" s="63"/>
      <c r="AW38" s="63"/>
      <c r="AX38" s="63"/>
    </row>
    <row r="39" spans="1:50" ht="16">
      <c r="A39" s="85">
        <v>25</v>
      </c>
      <c r="B39" s="64"/>
      <c r="C39" s="64"/>
      <c r="D39" s="64"/>
      <c r="E39" s="72"/>
      <c r="F39" s="72"/>
      <c r="G39" s="71">
        <f t="shared" si="0"/>
        <v>0</v>
      </c>
      <c r="H39" s="70"/>
      <c r="I39" s="64"/>
      <c r="J39" s="64"/>
      <c r="K39" s="69"/>
      <c r="L39" s="64"/>
      <c r="M39" s="68">
        <f t="shared" si="1"/>
        <v>0</v>
      </c>
      <c r="N39" s="64"/>
      <c r="O39" s="64"/>
      <c r="P39" s="64"/>
      <c r="Q39" s="66"/>
      <c r="R39" s="65"/>
      <c r="S39" s="64"/>
      <c r="T39" s="64"/>
      <c r="U39" s="64"/>
      <c r="V39" s="66"/>
      <c r="W39" s="65"/>
      <c r="X39" s="64"/>
      <c r="Y39" s="64"/>
      <c r="Z39" s="64"/>
      <c r="AA39" s="66"/>
      <c r="AB39" s="65"/>
      <c r="AC39" s="64"/>
      <c r="AD39" s="64"/>
      <c r="AE39" s="64"/>
      <c r="AF39" s="66"/>
      <c r="AG39" s="65"/>
      <c r="AH39" s="64"/>
      <c r="AI39" s="64"/>
      <c r="AJ39" s="66"/>
      <c r="AK39" s="65"/>
      <c r="AL39" s="64"/>
      <c r="AM39" s="64"/>
      <c r="AN39" s="66"/>
      <c r="AO39" s="65"/>
      <c r="AP39" s="64"/>
      <c r="AQ39" s="64"/>
      <c r="AR39" s="64"/>
      <c r="AS39" s="83"/>
      <c r="AT39" s="63"/>
      <c r="AU39" s="63"/>
      <c r="AV39" s="63"/>
      <c r="AW39" s="63"/>
      <c r="AX39" s="63"/>
    </row>
    <row r="40" spans="1:50" ht="16">
      <c r="A40" s="85">
        <v>26</v>
      </c>
      <c r="B40" s="64"/>
      <c r="C40" s="64"/>
      <c r="D40" s="64"/>
      <c r="E40" s="72"/>
      <c r="F40" s="72"/>
      <c r="G40" s="71">
        <f t="shared" si="0"/>
        <v>0</v>
      </c>
      <c r="H40" s="70"/>
      <c r="I40" s="64"/>
      <c r="J40" s="64"/>
      <c r="K40" s="69"/>
      <c r="L40" s="64"/>
      <c r="M40" s="68">
        <f t="shared" si="1"/>
        <v>0</v>
      </c>
      <c r="N40" s="64"/>
      <c r="O40" s="64"/>
      <c r="P40" s="64"/>
      <c r="Q40" s="66"/>
      <c r="R40" s="65"/>
      <c r="S40" s="64"/>
      <c r="T40" s="64"/>
      <c r="U40" s="64"/>
      <c r="V40" s="66"/>
      <c r="W40" s="65"/>
      <c r="X40" s="64"/>
      <c r="Y40" s="64"/>
      <c r="Z40" s="64"/>
      <c r="AA40" s="66"/>
      <c r="AB40" s="65"/>
      <c r="AC40" s="64"/>
      <c r="AD40" s="64"/>
      <c r="AE40" s="64"/>
      <c r="AF40" s="66"/>
      <c r="AG40" s="65"/>
      <c r="AH40" s="64"/>
      <c r="AI40" s="64"/>
      <c r="AJ40" s="66"/>
      <c r="AK40" s="65"/>
      <c r="AL40" s="64"/>
      <c r="AM40" s="64"/>
      <c r="AN40" s="66"/>
      <c r="AO40" s="65"/>
      <c r="AP40" s="64"/>
      <c r="AQ40" s="64"/>
      <c r="AR40" s="64"/>
      <c r="AS40" s="83"/>
      <c r="AT40" s="63"/>
      <c r="AU40" s="63"/>
      <c r="AV40" s="63"/>
      <c r="AW40" s="63"/>
      <c r="AX40" s="63"/>
    </row>
    <row r="41" spans="1:50" ht="16">
      <c r="A41" s="85">
        <v>27</v>
      </c>
      <c r="B41" s="64"/>
      <c r="C41" s="64"/>
      <c r="D41" s="64"/>
      <c r="E41" s="72"/>
      <c r="F41" s="72"/>
      <c r="G41" s="71">
        <f t="shared" si="0"/>
        <v>0</v>
      </c>
      <c r="H41" s="70"/>
      <c r="I41" s="64"/>
      <c r="J41" s="64"/>
      <c r="K41" s="69"/>
      <c r="L41" s="64"/>
      <c r="M41" s="68">
        <f t="shared" si="1"/>
        <v>0</v>
      </c>
      <c r="N41" s="64"/>
      <c r="O41" s="64"/>
      <c r="P41" s="64"/>
      <c r="Q41" s="66"/>
      <c r="R41" s="65"/>
      <c r="S41" s="64"/>
      <c r="T41" s="64"/>
      <c r="U41" s="64"/>
      <c r="V41" s="66"/>
      <c r="W41" s="65"/>
      <c r="X41" s="64"/>
      <c r="Y41" s="64"/>
      <c r="Z41" s="64"/>
      <c r="AA41" s="66"/>
      <c r="AB41" s="65"/>
      <c r="AC41" s="64"/>
      <c r="AD41" s="64"/>
      <c r="AE41" s="64"/>
      <c r="AF41" s="66"/>
      <c r="AG41" s="65"/>
      <c r="AH41" s="64"/>
      <c r="AI41" s="64"/>
      <c r="AJ41" s="66"/>
      <c r="AK41" s="65"/>
      <c r="AL41" s="64"/>
      <c r="AM41" s="64"/>
      <c r="AN41" s="66"/>
      <c r="AO41" s="65"/>
      <c r="AP41" s="64"/>
      <c r="AQ41" s="64"/>
      <c r="AR41" s="64"/>
      <c r="AS41" s="83"/>
      <c r="AT41" s="63"/>
      <c r="AU41" s="63"/>
      <c r="AV41" s="63"/>
      <c r="AW41" s="63"/>
      <c r="AX41" s="63"/>
    </row>
    <row r="42" spans="1:50" ht="16">
      <c r="A42" s="85">
        <v>28</v>
      </c>
      <c r="B42" s="64"/>
      <c r="C42" s="64"/>
      <c r="D42" s="64"/>
      <c r="E42" s="72"/>
      <c r="F42" s="72"/>
      <c r="G42" s="71">
        <f t="shared" si="0"/>
        <v>0</v>
      </c>
      <c r="H42" s="70"/>
      <c r="I42" s="64"/>
      <c r="J42" s="64"/>
      <c r="K42" s="69"/>
      <c r="L42" s="64"/>
      <c r="M42" s="68">
        <f t="shared" si="1"/>
        <v>0</v>
      </c>
      <c r="N42" s="64"/>
      <c r="O42" s="64"/>
      <c r="P42" s="64"/>
      <c r="Q42" s="66"/>
      <c r="R42" s="65"/>
      <c r="S42" s="64"/>
      <c r="T42" s="64"/>
      <c r="U42" s="64"/>
      <c r="V42" s="66"/>
      <c r="W42" s="65"/>
      <c r="X42" s="64"/>
      <c r="Y42" s="64"/>
      <c r="Z42" s="64"/>
      <c r="AA42" s="66"/>
      <c r="AB42" s="65"/>
      <c r="AC42" s="64"/>
      <c r="AD42" s="64"/>
      <c r="AE42" s="64"/>
      <c r="AF42" s="66"/>
      <c r="AG42" s="65"/>
      <c r="AH42" s="64"/>
      <c r="AI42" s="64"/>
      <c r="AJ42" s="66"/>
      <c r="AK42" s="65"/>
      <c r="AL42" s="64"/>
      <c r="AM42" s="64"/>
      <c r="AN42" s="66"/>
      <c r="AO42" s="65"/>
      <c r="AP42" s="64"/>
      <c r="AQ42" s="64"/>
      <c r="AR42" s="64"/>
      <c r="AS42" s="83"/>
      <c r="AT42" s="63"/>
      <c r="AU42" s="63"/>
      <c r="AV42" s="63"/>
      <c r="AW42" s="63"/>
      <c r="AX42" s="63"/>
    </row>
    <row r="43" spans="1:50" ht="16">
      <c r="A43" s="85">
        <v>29</v>
      </c>
      <c r="B43" s="64"/>
      <c r="C43" s="64"/>
      <c r="D43" s="64"/>
      <c r="E43" s="72"/>
      <c r="F43" s="72"/>
      <c r="G43" s="71">
        <f t="shared" si="0"/>
        <v>0</v>
      </c>
      <c r="H43" s="70"/>
      <c r="I43" s="64"/>
      <c r="J43" s="64"/>
      <c r="K43" s="69"/>
      <c r="L43" s="64"/>
      <c r="M43" s="68">
        <f t="shared" si="1"/>
        <v>0</v>
      </c>
      <c r="N43" s="64"/>
      <c r="O43" s="64"/>
      <c r="P43" s="64"/>
      <c r="Q43" s="66"/>
      <c r="R43" s="65"/>
      <c r="S43" s="64"/>
      <c r="T43" s="64"/>
      <c r="U43" s="64"/>
      <c r="V43" s="66"/>
      <c r="W43" s="65"/>
      <c r="X43" s="64"/>
      <c r="Y43" s="64"/>
      <c r="Z43" s="64"/>
      <c r="AA43" s="66"/>
      <c r="AB43" s="65"/>
      <c r="AC43" s="64"/>
      <c r="AD43" s="64"/>
      <c r="AE43" s="64"/>
      <c r="AF43" s="66"/>
      <c r="AG43" s="65"/>
      <c r="AH43" s="64"/>
      <c r="AI43" s="64"/>
      <c r="AJ43" s="66"/>
      <c r="AK43" s="65"/>
      <c r="AL43" s="64"/>
      <c r="AM43" s="64"/>
      <c r="AN43" s="66"/>
      <c r="AO43" s="65"/>
      <c r="AP43" s="64"/>
      <c r="AQ43" s="64"/>
      <c r="AR43" s="64"/>
      <c r="AS43" s="83"/>
      <c r="AT43" s="63"/>
      <c r="AU43" s="63"/>
      <c r="AV43" s="63"/>
      <c r="AW43" s="63"/>
      <c r="AX43" s="63"/>
    </row>
    <row r="44" spans="1:50" ht="16">
      <c r="A44" s="85">
        <v>30</v>
      </c>
      <c r="B44" s="64"/>
      <c r="C44" s="64"/>
      <c r="D44" s="64"/>
      <c r="E44" s="72"/>
      <c r="F44" s="72"/>
      <c r="G44" s="71">
        <f t="shared" si="0"/>
        <v>0</v>
      </c>
      <c r="H44" s="70"/>
      <c r="I44" s="64"/>
      <c r="J44" s="64"/>
      <c r="K44" s="69"/>
      <c r="L44" s="64"/>
      <c r="M44" s="68">
        <f t="shared" si="1"/>
        <v>0</v>
      </c>
      <c r="N44" s="64"/>
      <c r="O44" s="64"/>
      <c r="P44" s="64"/>
      <c r="Q44" s="66"/>
      <c r="R44" s="65"/>
      <c r="S44" s="64"/>
      <c r="T44" s="64"/>
      <c r="U44" s="64"/>
      <c r="V44" s="66"/>
      <c r="W44" s="65"/>
      <c r="X44" s="64"/>
      <c r="Y44" s="64"/>
      <c r="Z44" s="64"/>
      <c r="AA44" s="66"/>
      <c r="AB44" s="65"/>
      <c r="AC44" s="64"/>
      <c r="AD44" s="64"/>
      <c r="AE44" s="64"/>
      <c r="AF44" s="66"/>
      <c r="AG44" s="65"/>
      <c r="AH44" s="64"/>
      <c r="AI44" s="64"/>
      <c r="AJ44" s="66"/>
      <c r="AK44" s="65"/>
      <c r="AL44" s="64"/>
      <c r="AM44" s="64"/>
      <c r="AN44" s="66"/>
      <c r="AO44" s="65"/>
      <c r="AP44" s="64"/>
      <c r="AQ44" s="64"/>
      <c r="AR44" s="64"/>
      <c r="AS44" s="83"/>
      <c r="AT44" s="63"/>
      <c r="AU44" s="63"/>
      <c r="AV44" s="63"/>
      <c r="AW44" s="63"/>
      <c r="AX44" s="63"/>
    </row>
    <row r="45" spans="1:50" ht="16">
      <c r="A45" s="85">
        <v>31</v>
      </c>
      <c r="B45" s="64"/>
      <c r="C45" s="64"/>
      <c r="D45" s="64"/>
      <c r="E45" s="72"/>
      <c r="F45" s="72"/>
      <c r="G45" s="71">
        <f t="shared" si="0"/>
        <v>0</v>
      </c>
      <c r="H45" s="70"/>
      <c r="I45" s="64"/>
      <c r="J45" s="64"/>
      <c r="K45" s="69"/>
      <c r="L45" s="64"/>
      <c r="M45" s="68">
        <f t="shared" si="1"/>
        <v>0</v>
      </c>
      <c r="N45" s="64"/>
      <c r="O45" s="64"/>
      <c r="P45" s="64"/>
      <c r="Q45" s="66"/>
      <c r="R45" s="65"/>
      <c r="S45" s="64"/>
      <c r="T45" s="64"/>
      <c r="U45" s="64"/>
      <c r="V45" s="66"/>
      <c r="W45" s="65"/>
      <c r="X45" s="64"/>
      <c r="Y45" s="64"/>
      <c r="Z45" s="64"/>
      <c r="AA45" s="66"/>
      <c r="AB45" s="65"/>
      <c r="AC45" s="64"/>
      <c r="AD45" s="64"/>
      <c r="AE45" s="64"/>
      <c r="AF45" s="66"/>
      <c r="AG45" s="65"/>
      <c r="AH45" s="64"/>
      <c r="AI45" s="64"/>
      <c r="AJ45" s="66"/>
      <c r="AK45" s="65"/>
      <c r="AL45" s="64"/>
      <c r="AM45" s="64"/>
      <c r="AN45" s="66"/>
      <c r="AO45" s="65"/>
      <c r="AP45" s="64"/>
      <c r="AQ45" s="64"/>
      <c r="AR45" s="64"/>
      <c r="AS45" s="83"/>
      <c r="AT45" s="63"/>
      <c r="AU45" s="63"/>
      <c r="AV45" s="63"/>
      <c r="AW45" s="63"/>
      <c r="AX45" s="63"/>
    </row>
    <row r="46" spans="1:50" ht="16">
      <c r="A46" s="85">
        <v>32</v>
      </c>
      <c r="B46" s="64"/>
      <c r="C46" s="64"/>
      <c r="D46" s="64"/>
      <c r="E46" s="72"/>
      <c r="F46" s="72"/>
      <c r="G46" s="71">
        <f t="shared" si="0"/>
        <v>0</v>
      </c>
      <c r="H46" s="70"/>
      <c r="I46" s="64"/>
      <c r="J46" s="64"/>
      <c r="K46" s="69"/>
      <c r="L46" s="64"/>
      <c r="M46" s="68">
        <f t="shared" si="1"/>
        <v>0</v>
      </c>
      <c r="N46" s="64"/>
      <c r="O46" s="64"/>
      <c r="P46" s="64"/>
      <c r="Q46" s="66"/>
      <c r="R46" s="65"/>
      <c r="S46" s="64"/>
      <c r="T46" s="64"/>
      <c r="U46" s="64"/>
      <c r="V46" s="66"/>
      <c r="W46" s="65"/>
      <c r="X46" s="64"/>
      <c r="Y46" s="64"/>
      <c r="Z46" s="64"/>
      <c r="AA46" s="66"/>
      <c r="AB46" s="65"/>
      <c r="AC46" s="64"/>
      <c r="AD46" s="64"/>
      <c r="AE46" s="64"/>
      <c r="AF46" s="66"/>
      <c r="AG46" s="65"/>
      <c r="AH46" s="64"/>
      <c r="AI46" s="64"/>
      <c r="AJ46" s="66"/>
      <c r="AK46" s="65"/>
      <c r="AL46" s="64"/>
      <c r="AM46" s="64"/>
      <c r="AN46" s="66"/>
      <c r="AO46" s="65"/>
      <c r="AP46" s="64"/>
      <c r="AQ46" s="64"/>
      <c r="AR46" s="64"/>
      <c r="AS46" s="83"/>
      <c r="AT46" s="63"/>
      <c r="AU46" s="63"/>
      <c r="AV46" s="63"/>
      <c r="AW46" s="63"/>
      <c r="AX46" s="63"/>
    </row>
    <row r="47" spans="1:50" ht="16">
      <c r="A47" s="85">
        <v>33</v>
      </c>
      <c r="B47" s="64"/>
      <c r="C47" s="64"/>
      <c r="D47" s="64"/>
      <c r="E47" s="72"/>
      <c r="F47" s="72"/>
      <c r="G47" s="71">
        <f t="shared" si="0"/>
        <v>0</v>
      </c>
      <c r="H47" s="70"/>
      <c r="I47" s="64"/>
      <c r="J47" s="64"/>
      <c r="K47" s="69"/>
      <c r="L47" s="64"/>
      <c r="M47" s="68">
        <f t="shared" si="1"/>
        <v>0</v>
      </c>
      <c r="N47" s="64"/>
      <c r="O47" s="64"/>
      <c r="P47" s="64"/>
      <c r="Q47" s="66"/>
      <c r="R47" s="65"/>
      <c r="S47" s="64"/>
      <c r="T47" s="64"/>
      <c r="U47" s="64"/>
      <c r="V47" s="66"/>
      <c r="W47" s="65"/>
      <c r="X47" s="64"/>
      <c r="Y47" s="64"/>
      <c r="Z47" s="64"/>
      <c r="AA47" s="66"/>
      <c r="AB47" s="65"/>
      <c r="AC47" s="64"/>
      <c r="AD47" s="64"/>
      <c r="AE47" s="64"/>
      <c r="AF47" s="66"/>
      <c r="AG47" s="65"/>
      <c r="AH47" s="64"/>
      <c r="AI47" s="64"/>
      <c r="AJ47" s="66"/>
      <c r="AK47" s="65"/>
      <c r="AL47" s="64"/>
      <c r="AM47" s="64"/>
      <c r="AN47" s="66"/>
      <c r="AO47" s="65"/>
      <c r="AP47" s="64"/>
      <c r="AQ47" s="64"/>
      <c r="AR47" s="64"/>
      <c r="AS47" s="83"/>
      <c r="AT47" s="63"/>
      <c r="AU47" s="63"/>
      <c r="AV47" s="63"/>
      <c r="AW47" s="63"/>
      <c r="AX47" s="63"/>
    </row>
    <row r="48" spans="1:50" ht="16">
      <c r="A48" s="85">
        <v>34</v>
      </c>
      <c r="B48" s="64"/>
      <c r="C48" s="64"/>
      <c r="D48" s="64"/>
      <c r="E48" s="72"/>
      <c r="F48" s="72"/>
      <c r="G48" s="71">
        <f t="shared" si="0"/>
        <v>0</v>
      </c>
      <c r="H48" s="70"/>
      <c r="I48" s="64"/>
      <c r="J48" s="64"/>
      <c r="K48" s="69"/>
      <c r="L48" s="64"/>
      <c r="M48" s="68">
        <f t="shared" si="1"/>
        <v>0</v>
      </c>
      <c r="N48" s="64"/>
      <c r="O48" s="64"/>
      <c r="P48" s="64"/>
      <c r="Q48" s="66"/>
      <c r="R48" s="65"/>
      <c r="S48" s="64"/>
      <c r="T48" s="64"/>
      <c r="U48" s="64"/>
      <c r="V48" s="66"/>
      <c r="W48" s="65"/>
      <c r="X48" s="64"/>
      <c r="Y48" s="64"/>
      <c r="Z48" s="64"/>
      <c r="AA48" s="66"/>
      <c r="AB48" s="65"/>
      <c r="AC48" s="64"/>
      <c r="AD48" s="64"/>
      <c r="AE48" s="64"/>
      <c r="AF48" s="66"/>
      <c r="AG48" s="65"/>
      <c r="AH48" s="64"/>
      <c r="AI48" s="64"/>
      <c r="AJ48" s="66"/>
      <c r="AK48" s="65"/>
      <c r="AL48" s="64"/>
      <c r="AM48" s="64"/>
      <c r="AN48" s="66"/>
      <c r="AO48" s="65"/>
      <c r="AP48" s="64"/>
      <c r="AQ48" s="64"/>
      <c r="AR48" s="64"/>
      <c r="AS48" s="83"/>
      <c r="AT48" s="63"/>
      <c r="AU48" s="63"/>
      <c r="AV48" s="63"/>
      <c r="AW48" s="63"/>
      <c r="AX48" s="63"/>
    </row>
    <row r="49" spans="1:50" ht="16">
      <c r="A49" s="85">
        <v>35</v>
      </c>
      <c r="B49" s="64"/>
      <c r="C49" s="64"/>
      <c r="D49" s="64"/>
      <c r="E49" s="72"/>
      <c r="F49" s="72"/>
      <c r="G49" s="71">
        <f t="shared" si="0"/>
        <v>0</v>
      </c>
      <c r="H49" s="70"/>
      <c r="I49" s="64"/>
      <c r="J49" s="64"/>
      <c r="K49" s="69"/>
      <c r="L49" s="64"/>
      <c r="M49" s="68">
        <f t="shared" si="1"/>
        <v>0</v>
      </c>
      <c r="N49" s="64"/>
      <c r="O49" s="64"/>
      <c r="P49" s="64"/>
      <c r="Q49" s="66"/>
      <c r="R49" s="65"/>
      <c r="S49" s="64"/>
      <c r="T49" s="64"/>
      <c r="U49" s="64"/>
      <c r="V49" s="66"/>
      <c r="W49" s="65"/>
      <c r="X49" s="64"/>
      <c r="Y49" s="64"/>
      <c r="Z49" s="64"/>
      <c r="AA49" s="66"/>
      <c r="AB49" s="65"/>
      <c r="AC49" s="64"/>
      <c r="AD49" s="64"/>
      <c r="AE49" s="64"/>
      <c r="AF49" s="66"/>
      <c r="AG49" s="65"/>
      <c r="AH49" s="64"/>
      <c r="AI49" s="64"/>
      <c r="AJ49" s="66"/>
      <c r="AK49" s="65"/>
      <c r="AL49" s="64"/>
      <c r="AM49" s="64"/>
      <c r="AN49" s="66"/>
      <c r="AO49" s="65"/>
      <c r="AP49" s="64"/>
      <c r="AQ49" s="64"/>
      <c r="AR49" s="64"/>
      <c r="AS49" s="83"/>
      <c r="AT49" s="63"/>
      <c r="AU49" s="63"/>
      <c r="AV49" s="63"/>
      <c r="AW49" s="63"/>
      <c r="AX49" s="63"/>
    </row>
    <row r="50" spans="1:50" ht="16">
      <c r="A50" s="85">
        <v>36</v>
      </c>
      <c r="B50" s="64"/>
      <c r="C50" s="64"/>
      <c r="D50" s="64"/>
      <c r="E50" s="72"/>
      <c r="F50" s="72"/>
      <c r="G50" s="71">
        <f t="shared" si="0"/>
        <v>0</v>
      </c>
      <c r="H50" s="70"/>
      <c r="I50" s="64"/>
      <c r="J50" s="64"/>
      <c r="K50" s="69"/>
      <c r="L50" s="64"/>
      <c r="M50" s="68">
        <f t="shared" si="1"/>
        <v>0</v>
      </c>
      <c r="N50" s="64"/>
      <c r="O50" s="64"/>
      <c r="P50" s="64"/>
      <c r="Q50" s="66"/>
      <c r="R50" s="65"/>
      <c r="S50" s="64"/>
      <c r="T50" s="64"/>
      <c r="U50" s="64"/>
      <c r="V50" s="66"/>
      <c r="W50" s="65"/>
      <c r="X50" s="64"/>
      <c r="Y50" s="64"/>
      <c r="Z50" s="64"/>
      <c r="AA50" s="66"/>
      <c r="AB50" s="65"/>
      <c r="AC50" s="64"/>
      <c r="AD50" s="64"/>
      <c r="AE50" s="64"/>
      <c r="AF50" s="66"/>
      <c r="AG50" s="65"/>
      <c r="AH50" s="64"/>
      <c r="AI50" s="64"/>
      <c r="AJ50" s="66"/>
      <c r="AK50" s="65"/>
      <c r="AL50" s="64"/>
      <c r="AM50" s="64"/>
      <c r="AN50" s="66"/>
      <c r="AO50" s="65"/>
      <c r="AP50" s="64"/>
      <c r="AQ50" s="64"/>
      <c r="AR50" s="64"/>
      <c r="AS50" s="83"/>
      <c r="AT50" s="63"/>
      <c r="AU50" s="63"/>
      <c r="AV50" s="63"/>
      <c r="AW50" s="63"/>
      <c r="AX50" s="63"/>
    </row>
    <row r="51" spans="1:50" ht="16">
      <c r="A51" s="85">
        <v>37</v>
      </c>
      <c r="B51" s="64"/>
      <c r="C51" s="64"/>
      <c r="D51" s="64"/>
      <c r="E51" s="72"/>
      <c r="F51" s="72"/>
      <c r="G51" s="71">
        <f t="shared" si="0"/>
        <v>0</v>
      </c>
      <c r="H51" s="70"/>
      <c r="I51" s="64"/>
      <c r="J51" s="64"/>
      <c r="K51" s="69"/>
      <c r="L51" s="64"/>
      <c r="M51" s="68">
        <f t="shared" si="1"/>
        <v>0</v>
      </c>
      <c r="N51" s="64"/>
      <c r="O51" s="64"/>
      <c r="P51" s="64"/>
      <c r="Q51" s="66"/>
      <c r="R51" s="65"/>
      <c r="S51" s="64"/>
      <c r="T51" s="64"/>
      <c r="U51" s="64"/>
      <c r="V51" s="66"/>
      <c r="W51" s="65"/>
      <c r="X51" s="64"/>
      <c r="Y51" s="64"/>
      <c r="Z51" s="64"/>
      <c r="AA51" s="66"/>
      <c r="AB51" s="65"/>
      <c r="AC51" s="64"/>
      <c r="AD51" s="64"/>
      <c r="AE51" s="64"/>
      <c r="AF51" s="66"/>
      <c r="AG51" s="65"/>
      <c r="AH51" s="64"/>
      <c r="AI51" s="64"/>
      <c r="AJ51" s="66"/>
      <c r="AK51" s="65"/>
      <c r="AL51" s="64"/>
      <c r="AM51" s="64"/>
      <c r="AN51" s="66"/>
      <c r="AO51" s="65"/>
      <c r="AP51" s="64"/>
      <c r="AQ51" s="64"/>
      <c r="AR51" s="64"/>
      <c r="AS51" s="83"/>
      <c r="AT51" s="63"/>
      <c r="AU51" s="63"/>
      <c r="AV51" s="63"/>
      <c r="AW51" s="63"/>
      <c r="AX51" s="63"/>
    </row>
    <row r="52" spans="1:50" ht="16">
      <c r="A52" s="85">
        <v>38</v>
      </c>
      <c r="B52" s="64"/>
      <c r="C52" s="64"/>
      <c r="D52" s="64"/>
      <c r="E52" s="72"/>
      <c r="F52" s="72"/>
      <c r="G52" s="71">
        <f t="shared" si="0"/>
        <v>0</v>
      </c>
      <c r="H52" s="70"/>
      <c r="I52" s="64"/>
      <c r="J52" s="64"/>
      <c r="K52" s="69"/>
      <c r="L52" s="64"/>
      <c r="M52" s="68">
        <f t="shared" si="1"/>
        <v>0</v>
      </c>
      <c r="N52" s="64"/>
      <c r="O52" s="64"/>
      <c r="P52" s="64"/>
      <c r="Q52" s="66"/>
      <c r="R52" s="65"/>
      <c r="S52" s="64"/>
      <c r="T52" s="64"/>
      <c r="U52" s="64"/>
      <c r="V52" s="66"/>
      <c r="W52" s="65"/>
      <c r="X52" s="64"/>
      <c r="Y52" s="64"/>
      <c r="Z52" s="64"/>
      <c r="AA52" s="66"/>
      <c r="AB52" s="65"/>
      <c r="AC52" s="64"/>
      <c r="AD52" s="64"/>
      <c r="AE52" s="64"/>
      <c r="AF52" s="66"/>
      <c r="AG52" s="65"/>
      <c r="AH52" s="64"/>
      <c r="AI52" s="64"/>
      <c r="AJ52" s="66"/>
      <c r="AK52" s="65"/>
      <c r="AL52" s="64"/>
      <c r="AM52" s="64"/>
      <c r="AN52" s="66"/>
      <c r="AO52" s="65"/>
      <c r="AP52" s="64"/>
      <c r="AQ52" s="64"/>
      <c r="AR52" s="64"/>
      <c r="AS52" s="83"/>
      <c r="AT52" s="63"/>
      <c r="AU52" s="63"/>
      <c r="AV52" s="63"/>
      <c r="AW52" s="63"/>
      <c r="AX52" s="63"/>
    </row>
    <row r="53" spans="1:50" ht="16">
      <c r="A53" s="85">
        <v>39</v>
      </c>
      <c r="B53" s="64"/>
      <c r="C53" s="64"/>
      <c r="D53" s="64"/>
      <c r="E53" s="72"/>
      <c r="F53" s="72"/>
      <c r="G53" s="71">
        <f t="shared" si="0"/>
        <v>0</v>
      </c>
      <c r="H53" s="70"/>
      <c r="I53" s="64"/>
      <c r="J53" s="64"/>
      <c r="K53" s="69"/>
      <c r="L53" s="64"/>
      <c r="M53" s="68">
        <f t="shared" si="1"/>
        <v>0</v>
      </c>
      <c r="N53" s="64"/>
      <c r="O53" s="64"/>
      <c r="P53" s="64"/>
      <c r="Q53" s="66"/>
      <c r="R53" s="65"/>
      <c r="S53" s="64"/>
      <c r="T53" s="64"/>
      <c r="U53" s="64"/>
      <c r="V53" s="66"/>
      <c r="W53" s="65"/>
      <c r="X53" s="64"/>
      <c r="Y53" s="64"/>
      <c r="Z53" s="64"/>
      <c r="AA53" s="66"/>
      <c r="AB53" s="65"/>
      <c r="AC53" s="64"/>
      <c r="AD53" s="64"/>
      <c r="AE53" s="64"/>
      <c r="AF53" s="66"/>
      <c r="AG53" s="65"/>
      <c r="AH53" s="64"/>
      <c r="AI53" s="64"/>
      <c r="AJ53" s="66"/>
      <c r="AK53" s="65"/>
      <c r="AL53" s="64"/>
      <c r="AM53" s="64"/>
      <c r="AN53" s="66"/>
      <c r="AO53" s="65"/>
      <c r="AP53" s="64"/>
      <c r="AQ53" s="64"/>
      <c r="AR53" s="64"/>
      <c r="AS53" s="83"/>
      <c r="AT53" s="63"/>
      <c r="AU53" s="63"/>
      <c r="AV53" s="63"/>
      <c r="AW53" s="63"/>
      <c r="AX53" s="63"/>
    </row>
    <row r="54" spans="1:50" ht="16">
      <c r="A54" s="85">
        <v>40</v>
      </c>
      <c r="B54" s="64"/>
      <c r="C54" s="64"/>
      <c r="D54" s="64"/>
      <c r="E54" s="72"/>
      <c r="F54" s="72"/>
      <c r="G54" s="71">
        <f t="shared" si="0"/>
        <v>0</v>
      </c>
      <c r="H54" s="70"/>
      <c r="I54" s="64"/>
      <c r="J54" s="64"/>
      <c r="K54" s="69"/>
      <c r="L54" s="64"/>
      <c r="M54" s="68">
        <f t="shared" si="1"/>
        <v>0</v>
      </c>
      <c r="N54" s="64"/>
      <c r="O54" s="64"/>
      <c r="P54" s="64"/>
      <c r="Q54" s="66"/>
      <c r="R54" s="65"/>
      <c r="S54" s="64"/>
      <c r="T54" s="64"/>
      <c r="U54" s="64"/>
      <c r="V54" s="66"/>
      <c r="W54" s="65"/>
      <c r="X54" s="64"/>
      <c r="Y54" s="64"/>
      <c r="Z54" s="64"/>
      <c r="AA54" s="66"/>
      <c r="AB54" s="65"/>
      <c r="AC54" s="64"/>
      <c r="AD54" s="64"/>
      <c r="AE54" s="64"/>
      <c r="AF54" s="66"/>
      <c r="AG54" s="65"/>
      <c r="AH54" s="64"/>
      <c r="AI54" s="64"/>
      <c r="AJ54" s="66"/>
      <c r="AK54" s="65"/>
      <c r="AL54" s="64"/>
      <c r="AM54" s="64"/>
      <c r="AN54" s="66"/>
      <c r="AO54" s="65"/>
      <c r="AP54" s="64"/>
      <c r="AQ54" s="64"/>
      <c r="AR54" s="64"/>
      <c r="AS54" s="83"/>
      <c r="AT54" s="63"/>
      <c r="AU54" s="63"/>
      <c r="AV54" s="63"/>
      <c r="AW54" s="63"/>
      <c r="AX54" s="63"/>
    </row>
    <row r="55" spans="1:50" ht="16">
      <c r="A55" s="85">
        <v>41</v>
      </c>
      <c r="B55" s="64"/>
      <c r="C55" s="64"/>
      <c r="D55" s="64"/>
      <c r="E55" s="72"/>
      <c r="F55" s="72"/>
      <c r="G55" s="71">
        <f t="shared" si="0"/>
        <v>0</v>
      </c>
      <c r="H55" s="70"/>
      <c r="I55" s="64"/>
      <c r="J55" s="64"/>
      <c r="K55" s="69"/>
      <c r="L55" s="64"/>
      <c r="M55" s="68">
        <f t="shared" si="1"/>
        <v>0</v>
      </c>
      <c r="N55" s="64"/>
      <c r="O55" s="64"/>
      <c r="P55" s="64"/>
      <c r="Q55" s="66"/>
      <c r="R55" s="65"/>
      <c r="S55" s="64"/>
      <c r="T55" s="64"/>
      <c r="U55" s="64"/>
      <c r="V55" s="66"/>
      <c r="W55" s="65"/>
      <c r="X55" s="64"/>
      <c r="Y55" s="64"/>
      <c r="Z55" s="64"/>
      <c r="AA55" s="66"/>
      <c r="AB55" s="65"/>
      <c r="AC55" s="64"/>
      <c r="AD55" s="64"/>
      <c r="AE55" s="64"/>
      <c r="AF55" s="66"/>
      <c r="AG55" s="65"/>
      <c r="AH55" s="64"/>
      <c r="AI55" s="64"/>
      <c r="AJ55" s="66"/>
      <c r="AK55" s="65"/>
      <c r="AL55" s="64"/>
      <c r="AM55" s="64"/>
      <c r="AN55" s="66"/>
      <c r="AO55" s="65"/>
      <c r="AP55" s="64"/>
      <c r="AQ55" s="64"/>
      <c r="AR55" s="64"/>
      <c r="AS55" s="83"/>
      <c r="AT55" s="63"/>
      <c r="AU55" s="63"/>
      <c r="AV55" s="63"/>
      <c r="AW55" s="63"/>
      <c r="AX55" s="63"/>
    </row>
    <row r="56" spans="1:50" ht="16">
      <c r="A56" s="85">
        <v>42</v>
      </c>
      <c r="B56" s="64"/>
      <c r="C56" s="64"/>
      <c r="D56" s="64"/>
      <c r="E56" s="72"/>
      <c r="F56" s="72"/>
      <c r="G56" s="71">
        <f t="shared" si="0"/>
        <v>0</v>
      </c>
      <c r="H56" s="70"/>
      <c r="I56" s="64"/>
      <c r="J56" s="64"/>
      <c r="K56" s="69"/>
      <c r="L56" s="64"/>
      <c r="M56" s="68">
        <f t="shared" si="1"/>
        <v>0</v>
      </c>
      <c r="N56" s="64"/>
      <c r="O56" s="64"/>
      <c r="P56" s="64"/>
      <c r="Q56" s="66"/>
      <c r="R56" s="65"/>
      <c r="S56" s="64"/>
      <c r="T56" s="64"/>
      <c r="U56" s="64"/>
      <c r="V56" s="66"/>
      <c r="W56" s="65"/>
      <c r="X56" s="64"/>
      <c r="Y56" s="64"/>
      <c r="Z56" s="64"/>
      <c r="AA56" s="66"/>
      <c r="AB56" s="65"/>
      <c r="AC56" s="64"/>
      <c r="AD56" s="64"/>
      <c r="AE56" s="64"/>
      <c r="AF56" s="66"/>
      <c r="AG56" s="65"/>
      <c r="AH56" s="64"/>
      <c r="AI56" s="64"/>
      <c r="AJ56" s="66"/>
      <c r="AK56" s="65"/>
      <c r="AL56" s="64"/>
      <c r="AM56" s="64"/>
      <c r="AN56" s="66"/>
      <c r="AO56" s="65"/>
      <c r="AP56" s="64"/>
      <c r="AQ56" s="64"/>
      <c r="AR56" s="64"/>
      <c r="AS56" s="83"/>
      <c r="AT56" s="63"/>
      <c r="AU56" s="63"/>
      <c r="AV56" s="63"/>
      <c r="AW56" s="63"/>
      <c r="AX56" s="63"/>
    </row>
    <row r="57" spans="1:50" ht="16">
      <c r="A57" s="85">
        <v>43</v>
      </c>
      <c r="B57" s="64"/>
      <c r="C57" s="64"/>
      <c r="D57" s="64"/>
      <c r="E57" s="72"/>
      <c r="F57" s="72"/>
      <c r="G57" s="71">
        <f t="shared" si="0"/>
        <v>0</v>
      </c>
      <c r="H57" s="70"/>
      <c r="I57" s="64"/>
      <c r="J57" s="64"/>
      <c r="K57" s="69"/>
      <c r="L57" s="64"/>
      <c r="M57" s="68">
        <f t="shared" si="1"/>
        <v>0</v>
      </c>
      <c r="N57" s="64"/>
      <c r="O57" s="64"/>
      <c r="P57" s="64"/>
      <c r="Q57" s="66"/>
      <c r="R57" s="65"/>
      <c r="S57" s="64"/>
      <c r="T57" s="64"/>
      <c r="U57" s="64"/>
      <c r="V57" s="66"/>
      <c r="W57" s="65"/>
      <c r="X57" s="64"/>
      <c r="Y57" s="64"/>
      <c r="Z57" s="64"/>
      <c r="AA57" s="66"/>
      <c r="AB57" s="65"/>
      <c r="AC57" s="64"/>
      <c r="AD57" s="64"/>
      <c r="AE57" s="64"/>
      <c r="AF57" s="66"/>
      <c r="AG57" s="65"/>
      <c r="AH57" s="64"/>
      <c r="AI57" s="64"/>
      <c r="AJ57" s="66"/>
      <c r="AK57" s="65"/>
      <c r="AL57" s="64"/>
      <c r="AM57" s="64"/>
      <c r="AN57" s="66"/>
      <c r="AO57" s="65"/>
      <c r="AP57" s="64"/>
      <c r="AQ57" s="64"/>
      <c r="AR57" s="64"/>
      <c r="AS57" s="83"/>
      <c r="AT57" s="63"/>
      <c r="AU57" s="63"/>
      <c r="AV57" s="63"/>
      <c r="AW57" s="63"/>
      <c r="AX57" s="63"/>
    </row>
    <row r="58" spans="1:50" ht="16">
      <c r="A58" s="85">
        <v>44</v>
      </c>
      <c r="B58" s="64"/>
      <c r="C58" s="64"/>
      <c r="D58" s="64"/>
      <c r="E58" s="72"/>
      <c r="F58" s="72"/>
      <c r="G58" s="71">
        <f t="shared" si="0"/>
        <v>0</v>
      </c>
      <c r="H58" s="70"/>
      <c r="I58" s="64"/>
      <c r="J58" s="64"/>
      <c r="K58" s="69"/>
      <c r="L58" s="64"/>
      <c r="M58" s="68">
        <f t="shared" si="1"/>
        <v>0</v>
      </c>
      <c r="N58" s="64"/>
      <c r="O58" s="64"/>
      <c r="P58" s="64"/>
      <c r="Q58" s="66"/>
      <c r="R58" s="65"/>
      <c r="S58" s="64"/>
      <c r="T58" s="64"/>
      <c r="U58" s="64"/>
      <c r="V58" s="66"/>
      <c r="W58" s="65"/>
      <c r="X58" s="64"/>
      <c r="Y58" s="64"/>
      <c r="Z58" s="64"/>
      <c r="AA58" s="66"/>
      <c r="AB58" s="65"/>
      <c r="AC58" s="64"/>
      <c r="AD58" s="64"/>
      <c r="AE58" s="64"/>
      <c r="AF58" s="66"/>
      <c r="AG58" s="65"/>
      <c r="AH58" s="64"/>
      <c r="AI58" s="64"/>
      <c r="AJ58" s="66"/>
      <c r="AK58" s="65"/>
      <c r="AL58" s="64"/>
      <c r="AM58" s="64"/>
      <c r="AN58" s="66"/>
      <c r="AO58" s="65"/>
      <c r="AP58" s="64"/>
      <c r="AQ58" s="64"/>
      <c r="AR58" s="64"/>
      <c r="AS58" s="83"/>
      <c r="AT58" s="63"/>
      <c r="AU58" s="63"/>
      <c r="AV58" s="63"/>
      <c r="AW58" s="63"/>
      <c r="AX58" s="63"/>
    </row>
    <row r="59" spans="1:50" ht="16">
      <c r="A59" s="85">
        <v>45</v>
      </c>
      <c r="B59" s="64"/>
      <c r="C59" s="64"/>
      <c r="D59" s="64"/>
      <c r="E59" s="72"/>
      <c r="F59" s="72"/>
      <c r="G59" s="71">
        <f t="shared" si="0"/>
        <v>0</v>
      </c>
      <c r="H59" s="70"/>
      <c r="I59" s="64"/>
      <c r="J59" s="64"/>
      <c r="K59" s="69"/>
      <c r="L59" s="64"/>
      <c r="M59" s="68">
        <f t="shared" si="1"/>
        <v>0</v>
      </c>
      <c r="N59" s="64"/>
      <c r="O59" s="64"/>
      <c r="P59" s="64"/>
      <c r="Q59" s="66"/>
      <c r="R59" s="65"/>
      <c r="S59" s="64"/>
      <c r="T59" s="64"/>
      <c r="U59" s="64"/>
      <c r="V59" s="66"/>
      <c r="W59" s="65"/>
      <c r="X59" s="64"/>
      <c r="Y59" s="64"/>
      <c r="Z59" s="64"/>
      <c r="AA59" s="66"/>
      <c r="AB59" s="65"/>
      <c r="AC59" s="64"/>
      <c r="AD59" s="64"/>
      <c r="AE59" s="64"/>
      <c r="AF59" s="66"/>
      <c r="AG59" s="65"/>
      <c r="AH59" s="64"/>
      <c r="AI59" s="64"/>
      <c r="AJ59" s="66"/>
      <c r="AK59" s="65"/>
      <c r="AL59" s="64"/>
      <c r="AM59" s="64"/>
      <c r="AN59" s="66"/>
      <c r="AO59" s="65"/>
      <c r="AP59" s="64"/>
      <c r="AQ59" s="64"/>
      <c r="AR59" s="64"/>
      <c r="AS59" s="83"/>
      <c r="AT59" s="63"/>
      <c r="AU59" s="63"/>
      <c r="AV59" s="63"/>
      <c r="AW59" s="63"/>
      <c r="AX59" s="63"/>
    </row>
    <row r="60" spans="1:50" ht="16">
      <c r="A60" s="85">
        <v>46</v>
      </c>
      <c r="B60" s="64"/>
      <c r="C60" s="64"/>
      <c r="D60" s="64"/>
      <c r="E60" s="72"/>
      <c r="F60" s="72"/>
      <c r="G60" s="71">
        <f t="shared" si="0"/>
        <v>0</v>
      </c>
      <c r="H60" s="70"/>
      <c r="I60" s="64"/>
      <c r="J60" s="64"/>
      <c r="K60" s="69"/>
      <c r="L60" s="64"/>
      <c r="M60" s="68">
        <f t="shared" si="1"/>
        <v>0</v>
      </c>
      <c r="N60" s="64"/>
      <c r="O60" s="64"/>
      <c r="P60" s="64"/>
      <c r="Q60" s="66"/>
      <c r="R60" s="65"/>
      <c r="S60" s="64"/>
      <c r="T60" s="64"/>
      <c r="U60" s="64"/>
      <c r="V60" s="66"/>
      <c r="W60" s="65"/>
      <c r="X60" s="64"/>
      <c r="Y60" s="64"/>
      <c r="Z60" s="64"/>
      <c r="AA60" s="66"/>
      <c r="AB60" s="65"/>
      <c r="AC60" s="64"/>
      <c r="AD60" s="64"/>
      <c r="AE60" s="64"/>
      <c r="AF60" s="66"/>
      <c r="AG60" s="65"/>
      <c r="AH60" s="64"/>
      <c r="AI60" s="64"/>
      <c r="AJ60" s="66"/>
      <c r="AK60" s="65"/>
      <c r="AL60" s="64"/>
      <c r="AM60" s="64"/>
      <c r="AN60" s="66"/>
      <c r="AO60" s="65"/>
      <c r="AP60" s="64"/>
      <c r="AQ60" s="64"/>
      <c r="AR60" s="64"/>
      <c r="AS60" s="83"/>
      <c r="AT60" s="63"/>
      <c r="AU60" s="63"/>
      <c r="AV60" s="63"/>
      <c r="AW60" s="63"/>
      <c r="AX60" s="63"/>
    </row>
    <row r="61" spans="1:50" ht="16">
      <c r="A61" s="85">
        <v>47</v>
      </c>
      <c r="B61" s="64"/>
      <c r="C61" s="64"/>
      <c r="D61" s="64"/>
      <c r="E61" s="72"/>
      <c r="F61" s="72"/>
      <c r="G61" s="71">
        <f t="shared" si="0"/>
        <v>0</v>
      </c>
      <c r="H61" s="70"/>
      <c r="I61" s="64"/>
      <c r="J61" s="64"/>
      <c r="K61" s="69"/>
      <c r="L61" s="64"/>
      <c r="M61" s="68">
        <f t="shared" si="1"/>
        <v>0</v>
      </c>
      <c r="N61" s="64"/>
      <c r="O61" s="64"/>
      <c r="P61" s="64"/>
      <c r="Q61" s="66"/>
      <c r="R61" s="65"/>
      <c r="S61" s="64"/>
      <c r="T61" s="64"/>
      <c r="U61" s="64"/>
      <c r="V61" s="66"/>
      <c r="W61" s="65"/>
      <c r="X61" s="64"/>
      <c r="Y61" s="64"/>
      <c r="Z61" s="64"/>
      <c r="AA61" s="66"/>
      <c r="AB61" s="65"/>
      <c r="AC61" s="64"/>
      <c r="AD61" s="64"/>
      <c r="AE61" s="64"/>
      <c r="AF61" s="66"/>
      <c r="AG61" s="65"/>
      <c r="AH61" s="64"/>
      <c r="AI61" s="64"/>
      <c r="AJ61" s="66"/>
      <c r="AK61" s="65"/>
      <c r="AL61" s="64"/>
      <c r="AM61" s="64"/>
      <c r="AN61" s="66"/>
      <c r="AO61" s="65"/>
      <c r="AP61" s="64"/>
      <c r="AQ61" s="64"/>
      <c r="AR61" s="64"/>
      <c r="AS61" s="83"/>
      <c r="AT61" s="63"/>
      <c r="AU61" s="63"/>
      <c r="AV61" s="63"/>
      <c r="AW61" s="63"/>
      <c r="AX61" s="63"/>
    </row>
    <row r="62" spans="1:50" ht="16">
      <c r="A62" s="85">
        <v>48</v>
      </c>
      <c r="B62" s="64"/>
      <c r="C62" s="64"/>
      <c r="D62" s="64"/>
      <c r="E62" s="72"/>
      <c r="F62" s="72"/>
      <c r="G62" s="71">
        <f t="shared" si="0"/>
        <v>0</v>
      </c>
      <c r="H62" s="70"/>
      <c r="I62" s="64"/>
      <c r="J62" s="64"/>
      <c r="K62" s="69"/>
      <c r="L62" s="64"/>
      <c r="M62" s="68">
        <f t="shared" si="1"/>
        <v>0</v>
      </c>
      <c r="N62" s="64"/>
      <c r="O62" s="64"/>
      <c r="P62" s="64"/>
      <c r="Q62" s="66"/>
      <c r="R62" s="65"/>
      <c r="S62" s="64"/>
      <c r="T62" s="64"/>
      <c r="U62" s="64"/>
      <c r="V62" s="66"/>
      <c r="W62" s="65"/>
      <c r="X62" s="64"/>
      <c r="Y62" s="64"/>
      <c r="Z62" s="64"/>
      <c r="AA62" s="66"/>
      <c r="AB62" s="65"/>
      <c r="AC62" s="64"/>
      <c r="AD62" s="64"/>
      <c r="AE62" s="64"/>
      <c r="AF62" s="66"/>
      <c r="AG62" s="65"/>
      <c r="AH62" s="64"/>
      <c r="AI62" s="64"/>
      <c r="AJ62" s="66"/>
      <c r="AK62" s="65"/>
      <c r="AL62" s="64"/>
      <c r="AM62" s="64"/>
      <c r="AN62" s="66"/>
      <c r="AO62" s="65"/>
      <c r="AP62" s="64"/>
      <c r="AQ62" s="64"/>
      <c r="AR62" s="64"/>
      <c r="AS62" s="83"/>
      <c r="AT62" s="63"/>
      <c r="AU62" s="63"/>
      <c r="AV62" s="63"/>
      <c r="AW62" s="63"/>
      <c r="AX62" s="63"/>
    </row>
    <row r="63" spans="1:50" ht="16">
      <c r="A63" s="85">
        <v>49</v>
      </c>
      <c r="B63" s="64"/>
      <c r="C63" s="64"/>
      <c r="D63" s="64"/>
      <c r="E63" s="72"/>
      <c r="F63" s="72"/>
      <c r="G63" s="71">
        <f t="shared" si="0"/>
        <v>0</v>
      </c>
      <c r="H63" s="70"/>
      <c r="I63" s="64"/>
      <c r="J63" s="64"/>
      <c r="K63" s="69"/>
      <c r="L63" s="64"/>
      <c r="M63" s="68">
        <f t="shared" si="1"/>
        <v>0</v>
      </c>
      <c r="N63" s="64"/>
      <c r="O63" s="64"/>
      <c r="P63" s="64"/>
      <c r="Q63" s="66"/>
      <c r="R63" s="65"/>
      <c r="S63" s="64"/>
      <c r="T63" s="64"/>
      <c r="U63" s="64"/>
      <c r="V63" s="66"/>
      <c r="W63" s="65"/>
      <c r="X63" s="64"/>
      <c r="Y63" s="64"/>
      <c r="Z63" s="64"/>
      <c r="AA63" s="66"/>
      <c r="AB63" s="65"/>
      <c r="AC63" s="64"/>
      <c r="AD63" s="64"/>
      <c r="AE63" s="64"/>
      <c r="AF63" s="66"/>
      <c r="AG63" s="65"/>
      <c r="AH63" s="64"/>
      <c r="AI63" s="64"/>
      <c r="AJ63" s="66"/>
      <c r="AK63" s="65"/>
      <c r="AL63" s="64"/>
      <c r="AM63" s="64"/>
      <c r="AN63" s="66"/>
      <c r="AO63" s="65"/>
      <c r="AP63" s="64"/>
      <c r="AQ63" s="64"/>
      <c r="AR63" s="64"/>
      <c r="AS63" s="83"/>
      <c r="AT63" s="63"/>
      <c r="AU63" s="63"/>
      <c r="AV63" s="63"/>
      <c r="AW63" s="63"/>
      <c r="AX63" s="63"/>
    </row>
    <row r="64" spans="1:50" ht="16">
      <c r="A64" s="85">
        <v>50</v>
      </c>
      <c r="B64" s="64"/>
      <c r="C64" s="64"/>
      <c r="D64" s="64"/>
      <c r="E64" s="72"/>
      <c r="F64" s="72"/>
      <c r="G64" s="71">
        <f t="shared" si="0"/>
        <v>0</v>
      </c>
      <c r="H64" s="70"/>
      <c r="I64" s="64"/>
      <c r="J64" s="64"/>
      <c r="K64" s="69"/>
      <c r="L64" s="64"/>
      <c r="M64" s="68">
        <f t="shared" si="1"/>
        <v>0</v>
      </c>
      <c r="N64" s="64"/>
      <c r="O64" s="64"/>
      <c r="P64" s="64"/>
      <c r="Q64" s="66"/>
      <c r="R64" s="65"/>
      <c r="S64" s="64"/>
      <c r="T64" s="64"/>
      <c r="U64" s="64"/>
      <c r="V64" s="66"/>
      <c r="W64" s="65"/>
      <c r="X64" s="64"/>
      <c r="Y64" s="64"/>
      <c r="Z64" s="64"/>
      <c r="AA64" s="66"/>
      <c r="AB64" s="65"/>
      <c r="AC64" s="64"/>
      <c r="AD64" s="64"/>
      <c r="AE64" s="64"/>
      <c r="AF64" s="66"/>
      <c r="AG64" s="65"/>
      <c r="AH64" s="64"/>
      <c r="AI64" s="64"/>
      <c r="AJ64" s="66"/>
      <c r="AK64" s="65"/>
      <c r="AL64" s="64"/>
      <c r="AM64" s="64"/>
      <c r="AN64" s="66"/>
      <c r="AO64" s="65"/>
      <c r="AP64" s="64"/>
      <c r="AQ64" s="64"/>
      <c r="AR64" s="64"/>
      <c r="AS64" s="83"/>
      <c r="AT64" s="63"/>
      <c r="AU64" s="63"/>
      <c r="AV64" s="63"/>
      <c r="AW64" s="63"/>
      <c r="AX64" s="63"/>
    </row>
    <row r="65" spans="1:50" ht="16">
      <c r="A65" s="85">
        <v>51</v>
      </c>
      <c r="B65" s="64"/>
      <c r="C65" s="64"/>
      <c r="D65" s="64"/>
      <c r="E65" s="72"/>
      <c r="F65" s="72"/>
      <c r="G65" s="71">
        <f t="shared" si="0"/>
        <v>0</v>
      </c>
      <c r="H65" s="70"/>
      <c r="I65" s="64"/>
      <c r="J65" s="64"/>
      <c r="K65" s="69"/>
      <c r="L65" s="64"/>
      <c r="M65" s="68">
        <f t="shared" si="1"/>
        <v>0</v>
      </c>
      <c r="N65" s="64"/>
      <c r="O65" s="64"/>
      <c r="P65" s="64"/>
      <c r="Q65" s="66"/>
      <c r="R65" s="65"/>
      <c r="S65" s="64"/>
      <c r="T65" s="64"/>
      <c r="U65" s="64"/>
      <c r="V65" s="66"/>
      <c r="W65" s="65"/>
      <c r="X65" s="64"/>
      <c r="Y65" s="64"/>
      <c r="Z65" s="64"/>
      <c r="AA65" s="66"/>
      <c r="AB65" s="65"/>
      <c r="AC65" s="64"/>
      <c r="AD65" s="64"/>
      <c r="AE65" s="64"/>
      <c r="AF65" s="66"/>
      <c r="AG65" s="65"/>
      <c r="AH65" s="64"/>
      <c r="AI65" s="64"/>
      <c r="AJ65" s="66"/>
      <c r="AK65" s="65"/>
      <c r="AL65" s="64"/>
      <c r="AM65" s="64"/>
      <c r="AN65" s="66"/>
      <c r="AO65" s="65"/>
      <c r="AP65" s="64"/>
      <c r="AQ65" s="64"/>
      <c r="AR65" s="64"/>
      <c r="AS65" s="83"/>
      <c r="AT65" s="63"/>
      <c r="AU65" s="63"/>
      <c r="AV65" s="63"/>
      <c r="AW65" s="63"/>
      <c r="AX65" s="63"/>
    </row>
    <row r="66" spans="1:50" ht="16">
      <c r="A66" s="85">
        <v>52</v>
      </c>
      <c r="B66" s="64"/>
      <c r="C66" s="64"/>
      <c r="D66" s="64"/>
      <c r="E66" s="72"/>
      <c r="F66" s="72"/>
      <c r="G66" s="71">
        <f t="shared" si="0"/>
        <v>0</v>
      </c>
      <c r="H66" s="70"/>
      <c r="I66" s="64"/>
      <c r="J66" s="64"/>
      <c r="K66" s="69"/>
      <c r="L66" s="64"/>
      <c r="M66" s="68">
        <f t="shared" si="1"/>
        <v>0</v>
      </c>
      <c r="N66" s="64"/>
      <c r="O66" s="64"/>
      <c r="P66" s="64"/>
      <c r="Q66" s="66"/>
      <c r="R66" s="65"/>
      <c r="S66" s="64"/>
      <c r="T66" s="64"/>
      <c r="U66" s="64"/>
      <c r="V66" s="66"/>
      <c r="W66" s="65"/>
      <c r="X66" s="64"/>
      <c r="Y66" s="64"/>
      <c r="Z66" s="64"/>
      <c r="AA66" s="66"/>
      <c r="AB66" s="65"/>
      <c r="AC66" s="64"/>
      <c r="AD66" s="64"/>
      <c r="AE66" s="64"/>
      <c r="AF66" s="66"/>
      <c r="AG66" s="65"/>
      <c r="AH66" s="64"/>
      <c r="AI66" s="64"/>
      <c r="AJ66" s="66"/>
      <c r="AK66" s="65"/>
      <c r="AL66" s="64"/>
      <c r="AM66" s="64"/>
      <c r="AN66" s="66"/>
      <c r="AO66" s="65"/>
      <c r="AP66" s="64"/>
      <c r="AQ66" s="64"/>
      <c r="AR66" s="64"/>
      <c r="AS66" s="83"/>
      <c r="AT66" s="63"/>
      <c r="AU66" s="63"/>
      <c r="AV66" s="63"/>
      <c r="AW66" s="63"/>
      <c r="AX66" s="63"/>
    </row>
    <row r="67" spans="1:50" ht="16">
      <c r="A67" s="85">
        <v>53</v>
      </c>
      <c r="B67" s="64"/>
      <c r="C67" s="64"/>
      <c r="D67" s="64"/>
      <c r="E67" s="72"/>
      <c r="F67" s="72"/>
      <c r="G67" s="71">
        <f t="shared" si="0"/>
        <v>0</v>
      </c>
      <c r="H67" s="70"/>
      <c r="I67" s="64"/>
      <c r="J67" s="64"/>
      <c r="K67" s="69"/>
      <c r="L67" s="64"/>
      <c r="M67" s="68">
        <f t="shared" si="1"/>
        <v>0</v>
      </c>
      <c r="N67" s="64"/>
      <c r="O67" s="64"/>
      <c r="P67" s="64"/>
      <c r="Q67" s="66"/>
      <c r="R67" s="65"/>
      <c r="S67" s="64"/>
      <c r="T67" s="64"/>
      <c r="U67" s="64"/>
      <c r="V67" s="66"/>
      <c r="W67" s="65"/>
      <c r="X67" s="64"/>
      <c r="Y67" s="64"/>
      <c r="Z67" s="64"/>
      <c r="AA67" s="66"/>
      <c r="AB67" s="65"/>
      <c r="AC67" s="64"/>
      <c r="AD67" s="64"/>
      <c r="AE67" s="64"/>
      <c r="AF67" s="66"/>
      <c r="AG67" s="65"/>
      <c r="AH67" s="64"/>
      <c r="AI67" s="64"/>
      <c r="AJ67" s="66"/>
      <c r="AK67" s="65"/>
      <c r="AL67" s="64"/>
      <c r="AM67" s="64"/>
      <c r="AN67" s="66"/>
      <c r="AO67" s="65"/>
      <c r="AP67" s="64"/>
      <c r="AQ67" s="64"/>
      <c r="AR67" s="64"/>
      <c r="AS67" s="83"/>
      <c r="AT67" s="63"/>
      <c r="AU67" s="63"/>
      <c r="AV67" s="63"/>
      <c r="AW67" s="63"/>
      <c r="AX67" s="63"/>
    </row>
    <row r="68" spans="1:50" ht="16">
      <c r="A68" s="85">
        <v>54</v>
      </c>
      <c r="B68" s="64"/>
      <c r="C68" s="64"/>
      <c r="D68" s="64"/>
      <c r="E68" s="72"/>
      <c r="F68" s="72"/>
      <c r="G68" s="71">
        <f t="shared" si="0"/>
        <v>0</v>
      </c>
      <c r="H68" s="70"/>
      <c r="I68" s="64"/>
      <c r="J68" s="64"/>
      <c r="K68" s="69"/>
      <c r="L68" s="64"/>
      <c r="M68" s="68">
        <f t="shared" si="1"/>
        <v>0</v>
      </c>
      <c r="N68" s="64"/>
      <c r="O68" s="64"/>
      <c r="P68" s="64"/>
      <c r="Q68" s="66"/>
      <c r="R68" s="65"/>
      <c r="S68" s="64"/>
      <c r="T68" s="64"/>
      <c r="U68" s="64"/>
      <c r="V68" s="66"/>
      <c r="W68" s="65"/>
      <c r="X68" s="64"/>
      <c r="Y68" s="64"/>
      <c r="Z68" s="64"/>
      <c r="AA68" s="66"/>
      <c r="AB68" s="65"/>
      <c r="AC68" s="64"/>
      <c r="AD68" s="64"/>
      <c r="AE68" s="64"/>
      <c r="AF68" s="66"/>
      <c r="AG68" s="65"/>
      <c r="AH68" s="64"/>
      <c r="AI68" s="64"/>
      <c r="AJ68" s="66"/>
      <c r="AK68" s="65"/>
      <c r="AL68" s="64"/>
      <c r="AM68" s="64"/>
      <c r="AN68" s="66"/>
      <c r="AO68" s="65"/>
      <c r="AP68" s="64"/>
      <c r="AQ68" s="64"/>
      <c r="AR68" s="64"/>
      <c r="AS68" s="83"/>
      <c r="AT68" s="63"/>
      <c r="AU68" s="63"/>
      <c r="AV68" s="63"/>
      <c r="AW68" s="63"/>
      <c r="AX68" s="63"/>
    </row>
    <row r="69" spans="1:50" ht="16">
      <c r="A69" s="85">
        <v>55</v>
      </c>
      <c r="B69" s="64"/>
      <c r="C69" s="64"/>
      <c r="D69" s="64"/>
      <c r="E69" s="72"/>
      <c r="F69" s="72"/>
      <c r="G69" s="71">
        <f t="shared" si="0"/>
        <v>0</v>
      </c>
      <c r="H69" s="70"/>
      <c r="I69" s="64"/>
      <c r="J69" s="64"/>
      <c r="K69" s="69"/>
      <c r="L69" s="64"/>
      <c r="M69" s="68">
        <f t="shared" si="1"/>
        <v>0</v>
      </c>
      <c r="N69" s="64"/>
      <c r="O69" s="64"/>
      <c r="P69" s="64"/>
      <c r="Q69" s="66"/>
      <c r="R69" s="65"/>
      <c r="S69" s="64"/>
      <c r="T69" s="64"/>
      <c r="U69" s="64"/>
      <c r="V69" s="66"/>
      <c r="W69" s="65"/>
      <c r="X69" s="64"/>
      <c r="Y69" s="64"/>
      <c r="Z69" s="64"/>
      <c r="AA69" s="66"/>
      <c r="AB69" s="65"/>
      <c r="AC69" s="64"/>
      <c r="AD69" s="64"/>
      <c r="AE69" s="64"/>
      <c r="AF69" s="66"/>
      <c r="AG69" s="65"/>
      <c r="AH69" s="64"/>
      <c r="AI69" s="64"/>
      <c r="AJ69" s="66"/>
      <c r="AK69" s="65"/>
      <c r="AL69" s="64"/>
      <c r="AM69" s="64"/>
      <c r="AN69" s="66"/>
      <c r="AO69" s="65"/>
      <c r="AP69" s="64"/>
      <c r="AQ69" s="64"/>
      <c r="AR69" s="64"/>
      <c r="AS69" s="83"/>
      <c r="AT69" s="63"/>
      <c r="AU69" s="63"/>
      <c r="AV69" s="63"/>
      <c r="AW69" s="63"/>
      <c r="AX69" s="63"/>
    </row>
    <row r="70" spans="1:50" ht="16">
      <c r="A70" s="85">
        <v>56</v>
      </c>
      <c r="B70" s="64"/>
      <c r="C70" s="64"/>
      <c r="D70" s="64"/>
      <c r="E70" s="72"/>
      <c r="F70" s="72"/>
      <c r="G70" s="71">
        <f t="shared" si="0"/>
        <v>0</v>
      </c>
      <c r="H70" s="70"/>
      <c r="I70" s="64"/>
      <c r="J70" s="64"/>
      <c r="K70" s="69"/>
      <c r="L70" s="64"/>
      <c r="M70" s="68">
        <f t="shared" si="1"/>
        <v>0</v>
      </c>
      <c r="N70" s="64"/>
      <c r="O70" s="64"/>
      <c r="P70" s="64"/>
      <c r="Q70" s="66"/>
      <c r="R70" s="65"/>
      <c r="S70" s="64"/>
      <c r="T70" s="64"/>
      <c r="U70" s="64"/>
      <c r="V70" s="66"/>
      <c r="W70" s="65"/>
      <c r="X70" s="64"/>
      <c r="Y70" s="64"/>
      <c r="Z70" s="64"/>
      <c r="AA70" s="66"/>
      <c r="AB70" s="65"/>
      <c r="AC70" s="64"/>
      <c r="AD70" s="64"/>
      <c r="AE70" s="64"/>
      <c r="AF70" s="66"/>
      <c r="AG70" s="65"/>
      <c r="AH70" s="64"/>
      <c r="AI70" s="64"/>
      <c r="AJ70" s="66"/>
      <c r="AK70" s="65"/>
      <c r="AL70" s="64"/>
      <c r="AM70" s="64"/>
      <c r="AN70" s="66"/>
      <c r="AO70" s="65"/>
      <c r="AP70" s="64"/>
      <c r="AQ70" s="64"/>
      <c r="AR70" s="64"/>
      <c r="AS70" s="83"/>
      <c r="AT70" s="63"/>
      <c r="AU70" s="63"/>
      <c r="AV70" s="63"/>
      <c r="AW70" s="63"/>
      <c r="AX70" s="63"/>
    </row>
    <row r="71" spans="1:50" ht="16">
      <c r="A71" s="85">
        <v>57</v>
      </c>
      <c r="B71" s="64"/>
      <c r="C71" s="64"/>
      <c r="D71" s="64"/>
      <c r="E71" s="72"/>
      <c r="F71" s="72"/>
      <c r="G71" s="71">
        <f t="shared" si="0"/>
        <v>0</v>
      </c>
      <c r="H71" s="70"/>
      <c r="I71" s="64"/>
      <c r="J71" s="64"/>
      <c r="K71" s="69"/>
      <c r="L71" s="64"/>
      <c r="M71" s="68">
        <f t="shared" si="1"/>
        <v>0</v>
      </c>
      <c r="N71" s="64"/>
      <c r="O71" s="64"/>
      <c r="P71" s="64"/>
      <c r="Q71" s="66"/>
      <c r="R71" s="65"/>
      <c r="S71" s="64"/>
      <c r="T71" s="64"/>
      <c r="U71" s="64"/>
      <c r="V71" s="66"/>
      <c r="W71" s="65"/>
      <c r="X71" s="64"/>
      <c r="Y71" s="64"/>
      <c r="Z71" s="64"/>
      <c r="AA71" s="66"/>
      <c r="AB71" s="65"/>
      <c r="AC71" s="64"/>
      <c r="AD71" s="64"/>
      <c r="AE71" s="64"/>
      <c r="AF71" s="66"/>
      <c r="AG71" s="65"/>
      <c r="AH71" s="64"/>
      <c r="AI71" s="64"/>
      <c r="AJ71" s="66"/>
      <c r="AK71" s="65"/>
      <c r="AL71" s="64"/>
      <c r="AM71" s="64"/>
      <c r="AN71" s="66"/>
      <c r="AO71" s="65"/>
      <c r="AP71" s="64"/>
      <c r="AQ71" s="64"/>
      <c r="AR71" s="64"/>
      <c r="AS71" s="83"/>
      <c r="AT71" s="63"/>
      <c r="AU71" s="63"/>
      <c r="AV71" s="63"/>
      <c r="AW71" s="63"/>
      <c r="AX71" s="63"/>
    </row>
    <row r="72" spans="1:50" ht="16">
      <c r="A72" s="85">
        <v>58</v>
      </c>
      <c r="B72" s="64"/>
      <c r="C72" s="64"/>
      <c r="D72" s="64"/>
      <c r="E72" s="72"/>
      <c r="F72" s="72"/>
      <c r="G72" s="71">
        <f t="shared" si="0"/>
        <v>0</v>
      </c>
      <c r="H72" s="70"/>
      <c r="I72" s="64"/>
      <c r="J72" s="64"/>
      <c r="K72" s="69"/>
      <c r="L72" s="64"/>
      <c r="M72" s="68">
        <f t="shared" si="1"/>
        <v>0</v>
      </c>
      <c r="N72" s="64"/>
      <c r="O72" s="64"/>
      <c r="P72" s="64"/>
      <c r="Q72" s="66"/>
      <c r="R72" s="65"/>
      <c r="S72" s="64"/>
      <c r="T72" s="64"/>
      <c r="U72" s="64"/>
      <c r="V72" s="66"/>
      <c r="W72" s="65"/>
      <c r="X72" s="64"/>
      <c r="Y72" s="64"/>
      <c r="Z72" s="64"/>
      <c r="AA72" s="66"/>
      <c r="AB72" s="65"/>
      <c r="AC72" s="64"/>
      <c r="AD72" s="64"/>
      <c r="AE72" s="64"/>
      <c r="AF72" s="66"/>
      <c r="AG72" s="65"/>
      <c r="AH72" s="64"/>
      <c r="AI72" s="64"/>
      <c r="AJ72" s="66"/>
      <c r="AK72" s="65"/>
      <c r="AL72" s="64"/>
      <c r="AM72" s="64"/>
      <c r="AN72" s="66"/>
      <c r="AO72" s="65"/>
      <c r="AP72" s="64"/>
      <c r="AQ72" s="64"/>
      <c r="AR72" s="64"/>
      <c r="AS72" s="83"/>
      <c r="AT72" s="63"/>
      <c r="AU72" s="63"/>
      <c r="AV72" s="63"/>
      <c r="AW72" s="63"/>
      <c r="AX72" s="63"/>
    </row>
    <row r="73" spans="1:50" ht="16">
      <c r="A73" s="85">
        <v>59</v>
      </c>
      <c r="B73" s="64"/>
      <c r="C73" s="64"/>
      <c r="D73" s="64"/>
      <c r="E73" s="72"/>
      <c r="F73" s="72"/>
      <c r="G73" s="71">
        <f t="shared" si="0"/>
        <v>0</v>
      </c>
      <c r="H73" s="70"/>
      <c r="I73" s="64"/>
      <c r="J73" s="64"/>
      <c r="K73" s="69"/>
      <c r="L73" s="64"/>
      <c r="M73" s="68">
        <f t="shared" si="1"/>
        <v>0</v>
      </c>
      <c r="N73" s="64"/>
      <c r="O73" s="64"/>
      <c r="P73" s="64"/>
      <c r="Q73" s="66"/>
      <c r="R73" s="65"/>
      <c r="S73" s="64"/>
      <c r="T73" s="64"/>
      <c r="U73" s="64"/>
      <c r="V73" s="66"/>
      <c r="W73" s="65"/>
      <c r="X73" s="64"/>
      <c r="Y73" s="64"/>
      <c r="Z73" s="64"/>
      <c r="AA73" s="66"/>
      <c r="AB73" s="65"/>
      <c r="AC73" s="64"/>
      <c r="AD73" s="64"/>
      <c r="AE73" s="64"/>
      <c r="AF73" s="66"/>
      <c r="AG73" s="65"/>
      <c r="AH73" s="64"/>
      <c r="AI73" s="64"/>
      <c r="AJ73" s="66"/>
      <c r="AK73" s="65"/>
      <c r="AL73" s="64"/>
      <c r="AM73" s="64"/>
      <c r="AN73" s="66"/>
      <c r="AO73" s="65"/>
      <c r="AP73" s="64"/>
      <c r="AQ73" s="64"/>
      <c r="AR73" s="64"/>
      <c r="AS73" s="83"/>
      <c r="AT73" s="63"/>
      <c r="AU73" s="63"/>
      <c r="AV73" s="63"/>
      <c r="AW73" s="63"/>
      <c r="AX73" s="63"/>
    </row>
    <row r="74" spans="1:50" ht="16">
      <c r="A74" s="85">
        <v>60</v>
      </c>
      <c r="B74" s="64"/>
      <c r="C74" s="64"/>
      <c r="D74" s="64"/>
      <c r="E74" s="72"/>
      <c r="F74" s="72"/>
      <c r="G74" s="71">
        <f t="shared" si="0"/>
        <v>0</v>
      </c>
      <c r="H74" s="70"/>
      <c r="I74" s="64"/>
      <c r="J74" s="64"/>
      <c r="K74" s="69"/>
      <c r="L74" s="64"/>
      <c r="M74" s="68">
        <f t="shared" si="1"/>
        <v>0</v>
      </c>
      <c r="N74" s="64"/>
      <c r="O74" s="64"/>
      <c r="P74" s="64"/>
      <c r="Q74" s="66"/>
      <c r="R74" s="65"/>
      <c r="S74" s="64"/>
      <c r="T74" s="64"/>
      <c r="U74" s="64"/>
      <c r="V74" s="66"/>
      <c r="W74" s="65"/>
      <c r="X74" s="64"/>
      <c r="Y74" s="64"/>
      <c r="Z74" s="64"/>
      <c r="AA74" s="66"/>
      <c r="AB74" s="65"/>
      <c r="AC74" s="64"/>
      <c r="AD74" s="64"/>
      <c r="AE74" s="64"/>
      <c r="AF74" s="66"/>
      <c r="AG74" s="65"/>
      <c r="AH74" s="64"/>
      <c r="AI74" s="64"/>
      <c r="AJ74" s="66"/>
      <c r="AK74" s="65"/>
      <c r="AL74" s="64"/>
      <c r="AM74" s="64"/>
      <c r="AN74" s="66"/>
      <c r="AO74" s="65"/>
      <c r="AP74" s="64"/>
      <c r="AQ74" s="64"/>
      <c r="AR74" s="64"/>
      <c r="AS74" s="83"/>
      <c r="AT74" s="63"/>
      <c r="AU74" s="63"/>
      <c r="AV74" s="63"/>
      <c r="AW74" s="63"/>
      <c r="AX74" s="63"/>
    </row>
    <row r="75" spans="1:50" ht="16">
      <c r="A75" s="85">
        <v>61</v>
      </c>
      <c r="B75" s="64"/>
      <c r="C75" s="64"/>
      <c r="D75" s="64"/>
      <c r="E75" s="72"/>
      <c r="F75" s="72"/>
      <c r="G75" s="71">
        <f t="shared" si="0"/>
        <v>0</v>
      </c>
      <c r="H75" s="70"/>
      <c r="I75" s="64"/>
      <c r="J75" s="64"/>
      <c r="K75" s="69"/>
      <c r="L75" s="64"/>
      <c r="M75" s="68">
        <f t="shared" si="1"/>
        <v>0</v>
      </c>
      <c r="N75" s="64"/>
      <c r="O75" s="64"/>
      <c r="P75" s="64"/>
      <c r="Q75" s="66"/>
      <c r="R75" s="65"/>
      <c r="S75" s="64"/>
      <c r="T75" s="64"/>
      <c r="U75" s="64"/>
      <c r="V75" s="66"/>
      <c r="W75" s="65"/>
      <c r="X75" s="64"/>
      <c r="Y75" s="64"/>
      <c r="Z75" s="64"/>
      <c r="AA75" s="66"/>
      <c r="AB75" s="65"/>
      <c r="AC75" s="64"/>
      <c r="AD75" s="64"/>
      <c r="AE75" s="64"/>
      <c r="AF75" s="66"/>
      <c r="AG75" s="65"/>
      <c r="AH75" s="64"/>
      <c r="AI75" s="64"/>
      <c r="AJ75" s="66"/>
      <c r="AK75" s="65"/>
      <c r="AL75" s="64"/>
      <c r="AM75" s="64"/>
      <c r="AN75" s="66"/>
      <c r="AO75" s="65"/>
      <c r="AP75" s="64"/>
      <c r="AQ75" s="64"/>
      <c r="AR75" s="64"/>
      <c r="AS75" s="83"/>
      <c r="AT75" s="63"/>
      <c r="AU75" s="63"/>
      <c r="AV75" s="63"/>
      <c r="AW75" s="63"/>
      <c r="AX75" s="63"/>
    </row>
    <row r="76" spans="1:50" ht="16">
      <c r="A76" s="85">
        <v>62</v>
      </c>
      <c r="B76" s="64"/>
      <c r="C76" s="64"/>
      <c r="D76" s="64"/>
      <c r="E76" s="72"/>
      <c r="F76" s="72"/>
      <c r="G76" s="71">
        <f t="shared" si="0"/>
        <v>0</v>
      </c>
      <c r="H76" s="70"/>
      <c r="I76" s="64"/>
      <c r="J76" s="64"/>
      <c r="K76" s="69"/>
      <c r="L76" s="64"/>
      <c r="M76" s="68">
        <f t="shared" si="1"/>
        <v>0</v>
      </c>
      <c r="N76" s="64"/>
      <c r="O76" s="64"/>
      <c r="P76" s="64"/>
      <c r="Q76" s="66"/>
      <c r="R76" s="65"/>
      <c r="S76" s="64"/>
      <c r="T76" s="64"/>
      <c r="U76" s="64"/>
      <c r="V76" s="66"/>
      <c r="W76" s="65"/>
      <c r="X76" s="64"/>
      <c r="Y76" s="64"/>
      <c r="Z76" s="64"/>
      <c r="AA76" s="66"/>
      <c r="AB76" s="65"/>
      <c r="AC76" s="64"/>
      <c r="AD76" s="64"/>
      <c r="AE76" s="64"/>
      <c r="AF76" s="66"/>
      <c r="AG76" s="65"/>
      <c r="AH76" s="64"/>
      <c r="AI76" s="64"/>
      <c r="AJ76" s="66"/>
      <c r="AK76" s="65"/>
      <c r="AL76" s="64"/>
      <c r="AM76" s="64"/>
      <c r="AN76" s="66"/>
      <c r="AO76" s="65"/>
      <c r="AP76" s="64"/>
      <c r="AQ76" s="64"/>
      <c r="AR76" s="64"/>
      <c r="AS76" s="83"/>
      <c r="AT76" s="63"/>
      <c r="AU76" s="63"/>
      <c r="AV76" s="63"/>
      <c r="AW76" s="63"/>
      <c r="AX76" s="63"/>
    </row>
    <row r="77" spans="1:50" ht="16">
      <c r="A77" s="85">
        <v>63</v>
      </c>
      <c r="B77" s="64"/>
      <c r="C77" s="64"/>
      <c r="D77" s="64"/>
      <c r="E77" s="72"/>
      <c r="F77" s="72"/>
      <c r="G77" s="71">
        <f t="shared" si="0"/>
        <v>0</v>
      </c>
      <c r="H77" s="70"/>
      <c r="I77" s="64"/>
      <c r="J77" s="64"/>
      <c r="K77" s="69"/>
      <c r="L77" s="64"/>
      <c r="M77" s="68">
        <f t="shared" si="1"/>
        <v>0</v>
      </c>
      <c r="N77" s="64"/>
      <c r="O77" s="64"/>
      <c r="P77" s="64"/>
      <c r="Q77" s="66"/>
      <c r="R77" s="65"/>
      <c r="S77" s="64"/>
      <c r="T77" s="64"/>
      <c r="U77" s="64"/>
      <c r="V77" s="66"/>
      <c r="W77" s="65"/>
      <c r="X77" s="64"/>
      <c r="Y77" s="64"/>
      <c r="Z77" s="64"/>
      <c r="AA77" s="66"/>
      <c r="AB77" s="65"/>
      <c r="AC77" s="64"/>
      <c r="AD77" s="64"/>
      <c r="AE77" s="64"/>
      <c r="AF77" s="66"/>
      <c r="AG77" s="65"/>
      <c r="AH77" s="64"/>
      <c r="AI77" s="64"/>
      <c r="AJ77" s="66"/>
      <c r="AK77" s="65"/>
      <c r="AL77" s="64"/>
      <c r="AM77" s="64"/>
      <c r="AN77" s="66"/>
      <c r="AO77" s="65"/>
      <c r="AP77" s="64"/>
      <c r="AQ77" s="64"/>
      <c r="AR77" s="64"/>
      <c r="AS77" s="83"/>
      <c r="AT77" s="63"/>
      <c r="AU77" s="63"/>
      <c r="AV77" s="63"/>
      <c r="AW77" s="63"/>
      <c r="AX77" s="63"/>
    </row>
    <row r="78" spans="1:50" ht="16">
      <c r="A78" s="85">
        <v>64</v>
      </c>
      <c r="B78" s="64"/>
      <c r="C78" s="64"/>
      <c r="D78" s="64"/>
      <c r="E78" s="72"/>
      <c r="F78" s="72"/>
      <c r="G78" s="71">
        <f t="shared" si="0"/>
        <v>0</v>
      </c>
      <c r="H78" s="70"/>
      <c r="I78" s="64"/>
      <c r="J78" s="64"/>
      <c r="K78" s="69"/>
      <c r="L78" s="64"/>
      <c r="M78" s="68">
        <f t="shared" si="1"/>
        <v>0</v>
      </c>
      <c r="N78" s="64"/>
      <c r="O78" s="64"/>
      <c r="P78" s="64"/>
      <c r="Q78" s="66"/>
      <c r="R78" s="65"/>
      <c r="S78" s="64"/>
      <c r="T78" s="64"/>
      <c r="U78" s="64"/>
      <c r="V78" s="66"/>
      <c r="W78" s="65"/>
      <c r="X78" s="64"/>
      <c r="Y78" s="64"/>
      <c r="Z78" s="64"/>
      <c r="AA78" s="66"/>
      <c r="AB78" s="65"/>
      <c r="AC78" s="64"/>
      <c r="AD78" s="64"/>
      <c r="AE78" s="64"/>
      <c r="AF78" s="66"/>
      <c r="AG78" s="65"/>
      <c r="AH78" s="64"/>
      <c r="AI78" s="64"/>
      <c r="AJ78" s="66"/>
      <c r="AK78" s="65"/>
      <c r="AL78" s="64"/>
      <c r="AM78" s="64"/>
      <c r="AN78" s="66"/>
      <c r="AO78" s="65"/>
      <c r="AP78" s="64"/>
      <c r="AQ78" s="64"/>
      <c r="AR78" s="64"/>
      <c r="AS78" s="83"/>
      <c r="AT78" s="63"/>
      <c r="AU78" s="63"/>
      <c r="AV78" s="63"/>
      <c r="AW78" s="63"/>
      <c r="AX78" s="63"/>
    </row>
    <row r="79" spans="1:50" ht="16">
      <c r="A79" s="85">
        <v>65</v>
      </c>
      <c r="B79" s="64"/>
      <c r="C79" s="64"/>
      <c r="D79" s="64"/>
      <c r="E79" s="72"/>
      <c r="F79" s="72"/>
      <c r="G79" s="71">
        <f t="shared" ref="G79:G114" si="2">+($C$11-E79)/365</f>
        <v>0</v>
      </c>
      <c r="H79" s="70"/>
      <c r="I79" s="64"/>
      <c r="J79" s="64"/>
      <c r="K79" s="69"/>
      <c r="L79" s="64"/>
      <c r="M79" s="68">
        <f t="shared" ref="M79:M114" si="3">IF(J79&gt;0,J79*$D$12,K79*40*52)</f>
        <v>0</v>
      </c>
      <c r="N79" s="64"/>
      <c r="O79" s="64"/>
      <c r="P79" s="64"/>
      <c r="Q79" s="66"/>
      <c r="R79" s="65"/>
      <c r="S79" s="64"/>
      <c r="T79" s="64"/>
      <c r="U79" s="64"/>
      <c r="V79" s="66"/>
      <c r="W79" s="65"/>
      <c r="X79" s="64"/>
      <c r="Y79" s="64"/>
      <c r="Z79" s="64"/>
      <c r="AA79" s="66"/>
      <c r="AB79" s="65"/>
      <c r="AC79" s="64"/>
      <c r="AD79" s="64"/>
      <c r="AE79" s="64"/>
      <c r="AF79" s="66"/>
      <c r="AG79" s="65"/>
      <c r="AH79" s="64"/>
      <c r="AI79" s="64"/>
      <c r="AJ79" s="66"/>
      <c r="AK79" s="65"/>
      <c r="AL79" s="64"/>
      <c r="AM79" s="64"/>
      <c r="AN79" s="66"/>
      <c r="AO79" s="65"/>
      <c r="AP79" s="64"/>
      <c r="AQ79" s="64"/>
      <c r="AR79" s="64"/>
      <c r="AS79" s="83"/>
      <c r="AT79" s="63"/>
      <c r="AU79" s="63"/>
      <c r="AV79" s="63"/>
      <c r="AW79" s="63"/>
      <c r="AX79" s="63"/>
    </row>
    <row r="80" spans="1:50" ht="16">
      <c r="A80" s="85">
        <v>66</v>
      </c>
      <c r="B80" s="64"/>
      <c r="C80" s="64"/>
      <c r="D80" s="64"/>
      <c r="E80" s="72"/>
      <c r="F80" s="72"/>
      <c r="G80" s="71">
        <f t="shared" si="2"/>
        <v>0</v>
      </c>
      <c r="H80" s="70"/>
      <c r="I80" s="64"/>
      <c r="J80" s="64"/>
      <c r="K80" s="69"/>
      <c r="L80" s="64"/>
      <c r="M80" s="68">
        <f t="shared" si="3"/>
        <v>0</v>
      </c>
      <c r="N80" s="64"/>
      <c r="O80" s="64"/>
      <c r="P80" s="64"/>
      <c r="Q80" s="66"/>
      <c r="R80" s="65"/>
      <c r="S80" s="64"/>
      <c r="T80" s="64"/>
      <c r="U80" s="64"/>
      <c r="V80" s="66"/>
      <c r="W80" s="65"/>
      <c r="X80" s="64"/>
      <c r="Y80" s="64"/>
      <c r="Z80" s="64"/>
      <c r="AA80" s="66"/>
      <c r="AB80" s="65"/>
      <c r="AC80" s="64"/>
      <c r="AD80" s="64"/>
      <c r="AE80" s="64"/>
      <c r="AF80" s="66"/>
      <c r="AG80" s="65"/>
      <c r="AH80" s="64"/>
      <c r="AI80" s="64"/>
      <c r="AJ80" s="66"/>
      <c r="AK80" s="65"/>
      <c r="AL80" s="64"/>
      <c r="AM80" s="64"/>
      <c r="AN80" s="66"/>
      <c r="AO80" s="65"/>
      <c r="AP80" s="64"/>
      <c r="AQ80" s="64"/>
      <c r="AR80" s="64"/>
      <c r="AS80" s="83"/>
      <c r="AT80" s="63"/>
      <c r="AU80" s="63"/>
      <c r="AV80" s="63"/>
      <c r="AW80" s="63"/>
      <c r="AX80" s="63"/>
    </row>
    <row r="81" spans="1:50" ht="16">
      <c r="A81" s="85">
        <v>67</v>
      </c>
      <c r="B81" s="64"/>
      <c r="C81" s="64"/>
      <c r="D81" s="64"/>
      <c r="E81" s="72"/>
      <c r="F81" s="72"/>
      <c r="G81" s="71">
        <f t="shared" si="2"/>
        <v>0</v>
      </c>
      <c r="H81" s="70"/>
      <c r="I81" s="64"/>
      <c r="J81" s="64"/>
      <c r="K81" s="69"/>
      <c r="L81" s="64"/>
      <c r="M81" s="68">
        <f t="shared" si="3"/>
        <v>0</v>
      </c>
      <c r="N81" s="64"/>
      <c r="O81" s="64"/>
      <c r="P81" s="64"/>
      <c r="Q81" s="66"/>
      <c r="R81" s="65"/>
      <c r="S81" s="64"/>
      <c r="T81" s="64"/>
      <c r="U81" s="64"/>
      <c r="V81" s="66"/>
      <c r="W81" s="65"/>
      <c r="X81" s="64"/>
      <c r="Y81" s="64"/>
      <c r="Z81" s="64"/>
      <c r="AA81" s="66"/>
      <c r="AB81" s="65"/>
      <c r="AC81" s="64"/>
      <c r="AD81" s="64"/>
      <c r="AE81" s="64"/>
      <c r="AF81" s="66"/>
      <c r="AG81" s="65"/>
      <c r="AH81" s="64"/>
      <c r="AI81" s="64"/>
      <c r="AJ81" s="66"/>
      <c r="AK81" s="65"/>
      <c r="AL81" s="64"/>
      <c r="AM81" s="64"/>
      <c r="AN81" s="66"/>
      <c r="AO81" s="65"/>
      <c r="AP81" s="64"/>
      <c r="AQ81" s="64"/>
      <c r="AR81" s="64"/>
      <c r="AS81" s="83"/>
      <c r="AT81" s="63"/>
      <c r="AU81" s="63"/>
      <c r="AV81" s="63"/>
      <c r="AW81" s="63"/>
      <c r="AX81" s="63"/>
    </row>
    <row r="82" spans="1:50" ht="16">
      <c r="A82" s="85">
        <v>68</v>
      </c>
      <c r="B82" s="64"/>
      <c r="C82" s="64"/>
      <c r="D82" s="64"/>
      <c r="E82" s="72"/>
      <c r="F82" s="72"/>
      <c r="G82" s="71">
        <f t="shared" si="2"/>
        <v>0</v>
      </c>
      <c r="H82" s="70"/>
      <c r="I82" s="64"/>
      <c r="J82" s="64"/>
      <c r="K82" s="69"/>
      <c r="L82" s="64"/>
      <c r="M82" s="68">
        <f t="shared" si="3"/>
        <v>0</v>
      </c>
      <c r="N82" s="64"/>
      <c r="O82" s="64"/>
      <c r="P82" s="64"/>
      <c r="Q82" s="66"/>
      <c r="R82" s="65"/>
      <c r="S82" s="64"/>
      <c r="T82" s="64"/>
      <c r="U82" s="64"/>
      <c r="V82" s="66"/>
      <c r="W82" s="65"/>
      <c r="X82" s="64"/>
      <c r="Y82" s="64"/>
      <c r="Z82" s="64"/>
      <c r="AA82" s="66"/>
      <c r="AB82" s="65"/>
      <c r="AC82" s="64"/>
      <c r="AD82" s="64"/>
      <c r="AE82" s="64"/>
      <c r="AF82" s="66"/>
      <c r="AG82" s="65"/>
      <c r="AH82" s="64"/>
      <c r="AI82" s="64"/>
      <c r="AJ82" s="66"/>
      <c r="AK82" s="65"/>
      <c r="AL82" s="64"/>
      <c r="AM82" s="64"/>
      <c r="AN82" s="66"/>
      <c r="AO82" s="65"/>
      <c r="AP82" s="64"/>
      <c r="AQ82" s="64"/>
      <c r="AR82" s="64"/>
      <c r="AS82" s="83"/>
      <c r="AT82" s="63"/>
      <c r="AU82" s="63"/>
      <c r="AV82" s="63"/>
      <c r="AW82" s="63"/>
      <c r="AX82" s="63"/>
    </row>
    <row r="83" spans="1:50" ht="16">
      <c r="A83" s="85">
        <v>69</v>
      </c>
      <c r="B83" s="64"/>
      <c r="C83" s="64"/>
      <c r="D83" s="64"/>
      <c r="E83" s="72"/>
      <c r="F83" s="72"/>
      <c r="G83" s="71">
        <f t="shared" si="2"/>
        <v>0</v>
      </c>
      <c r="H83" s="70"/>
      <c r="I83" s="64"/>
      <c r="J83" s="64"/>
      <c r="K83" s="69"/>
      <c r="L83" s="64"/>
      <c r="M83" s="68">
        <f t="shared" si="3"/>
        <v>0</v>
      </c>
      <c r="N83" s="64"/>
      <c r="O83" s="64"/>
      <c r="P83" s="64"/>
      <c r="Q83" s="66"/>
      <c r="R83" s="65"/>
      <c r="S83" s="64"/>
      <c r="T83" s="64"/>
      <c r="U83" s="64"/>
      <c r="V83" s="66"/>
      <c r="W83" s="65"/>
      <c r="X83" s="64"/>
      <c r="Y83" s="64"/>
      <c r="Z83" s="64"/>
      <c r="AA83" s="66"/>
      <c r="AB83" s="65"/>
      <c r="AC83" s="64"/>
      <c r="AD83" s="64"/>
      <c r="AE83" s="64"/>
      <c r="AF83" s="66"/>
      <c r="AG83" s="65"/>
      <c r="AH83" s="64"/>
      <c r="AI83" s="64"/>
      <c r="AJ83" s="66"/>
      <c r="AK83" s="65"/>
      <c r="AL83" s="64"/>
      <c r="AM83" s="64"/>
      <c r="AN83" s="66"/>
      <c r="AO83" s="65"/>
      <c r="AP83" s="64"/>
      <c r="AQ83" s="64"/>
      <c r="AR83" s="64"/>
      <c r="AS83" s="83"/>
      <c r="AT83" s="63"/>
      <c r="AU83" s="63"/>
      <c r="AV83" s="63"/>
      <c r="AW83" s="63"/>
      <c r="AX83" s="63"/>
    </row>
    <row r="84" spans="1:50" ht="16">
      <c r="A84" s="85">
        <v>70</v>
      </c>
      <c r="B84" s="64"/>
      <c r="C84" s="64"/>
      <c r="D84" s="64"/>
      <c r="E84" s="72"/>
      <c r="F84" s="72"/>
      <c r="G84" s="71">
        <f t="shared" si="2"/>
        <v>0</v>
      </c>
      <c r="H84" s="70"/>
      <c r="I84" s="64"/>
      <c r="J84" s="64"/>
      <c r="K84" s="69"/>
      <c r="L84" s="64"/>
      <c r="M84" s="68">
        <f t="shared" si="3"/>
        <v>0</v>
      </c>
      <c r="N84" s="64"/>
      <c r="O84" s="64"/>
      <c r="P84" s="64"/>
      <c r="Q84" s="66"/>
      <c r="R84" s="65"/>
      <c r="S84" s="64"/>
      <c r="T84" s="64"/>
      <c r="U84" s="64"/>
      <c r="V84" s="66"/>
      <c r="W84" s="65"/>
      <c r="X84" s="64"/>
      <c r="Y84" s="64"/>
      <c r="Z84" s="64"/>
      <c r="AA84" s="66"/>
      <c r="AB84" s="65"/>
      <c r="AC84" s="64"/>
      <c r="AD84" s="64"/>
      <c r="AE84" s="64"/>
      <c r="AF84" s="66"/>
      <c r="AG84" s="65"/>
      <c r="AH84" s="64"/>
      <c r="AI84" s="64"/>
      <c r="AJ84" s="66"/>
      <c r="AK84" s="65"/>
      <c r="AL84" s="64"/>
      <c r="AM84" s="64"/>
      <c r="AN84" s="66"/>
      <c r="AO84" s="65"/>
      <c r="AP84" s="64"/>
      <c r="AQ84" s="64"/>
      <c r="AR84" s="64"/>
      <c r="AS84" s="83"/>
      <c r="AT84" s="63"/>
      <c r="AU84" s="63"/>
      <c r="AV84" s="63"/>
      <c r="AW84" s="63"/>
      <c r="AX84" s="63"/>
    </row>
    <row r="85" spans="1:50" ht="16">
      <c r="A85" s="85">
        <v>71</v>
      </c>
      <c r="B85" s="64"/>
      <c r="C85" s="64"/>
      <c r="D85" s="64"/>
      <c r="E85" s="72"/>
      <c r="F85" s="72"/>
      <c r="G85" s="71">
        <f t="shared" si="2"/>
        <v>0</v>
      </c>
      <c r="H85" s="70"/>
      <c r="I85" s="64"/>
      <c r="J85" s="64"/>
      <c r="K85" s="69"/>
      <c r="L85" s="64"/>
      <c r="M85" s="68">
        <f t="shared" si="3"/>
        <v>0</v>
      </c>
      <c r="N85" s="64"/>
      <c r="O85" s="64"/>
      <c r="P85" s="64"/>
      <c r="Q85" s="66"/>
      <c r="R85" s="65"/>
      <c r="S85" s="64"/>
      <c r="T85" s="64"/>
      <c r="U85" s="64"/>
      <c r="V85" s="66"/>
      <c r="W85" s="65"/>
      <c r="X85" s="64"/>
      <c r="Y85" s="64"/>
      <c r="Z85" s="64"/>
      <c r="AA85" s="66"/>
      <c r="AB85" s="65"/>
      <c r="AC85" s="64"/>
      <c r="AD85" s="64"/>
      <c r="AE85" s="64"/>
      <c r="AF85" s="66"/>
      <c r="AG85" s="65"/>
      <c r="AH85" s="64"/>
      <c r="AI85" s="64"/>
      <c r="AJ85" s="66"/>
      <c r="AK85" s="65"/>
      <c r="AL85" s="64"/>
      <c r="AM85" s="64"/>
      <c r="AN85" s="66"/>
      <c r="AO85" s="65"/>
      <c r="AP85" s="64"/>
      <c r="AQ85" s="64"/>
      <c r="AR85" s="64"/>
      <c r="AS85" s="83"/>
      <c r="AT85" s="63"/>
      <c r="AU85" s="63"/>
      <c r="AV85" s="63"/>
      <c r="AW85" s="63"/>
      <c r="AX85" s="63"/>
    </row>
    <row r="86" spans="1:50" ht="16">
      <c r="A86" s="85">
        <v>72</v>
      </c>
      <c r="B86" s="64"/>
      <c r="C86" s="64"/>
      <c r="D86" s="64"/>
      <c r="E86" s="72"/>
      <c r="F86" s="72"/>
      <c r="G86" s="71">
        <f t="shared" si="2"/>
        <v>0</v>
      </c>
      <c r="H86" s="70"/>
      <c r="I86" s="64"/>
      <c r="J86" s="64"/>
      <c r="K86" s="69"/>
      <c r="L86" s="64"/>
      <c r="M86" s="68">
        <f t="shared" si="3"/>
        <v>0</v>
      </c>
      <c r="N86" s="64"/>
      <c r="O86" s="64"/>
      <c r="P86" s="64"/>
      <c r="Q86" s="66"/>
      <c r="R86" s="65"/>
      <c r="S86" s="64"/>
      <c r="T86" s="64"/>
      <c r="U86" s="64"/>
      <c r="V86" s="66"/>
      <c r="W86" s="65"/>
      <c r="X86" s="64"/>
      <c r="Y86" s="64"/>
      <c r="Z86" s="64"/>
      <c r="AA86" s="66"/>
      <c r="AB86" s="65"/>
      <c r="AC86" s="64"/>
      <c r="AD86" s="64"/>
      <c r="AE86" s="64"/>
      <c r="AF86" s="66"/>
      <c r="AG86" s="65"/>
      <c r="AH86" s="64"/>
      <c r="AI86" s="64"/>
      <c r="AJ86" s="66"/>
      <c r="AK86" s="65"/>
      <c r="AL86" s="64"/>
      <c r="AM86" s="64"/>
      <c r="AN86" s="66"/>
      <c r="AO86" s="65"/>
      <c r="AP86" s="64"/>
      <c r="AQ86" s="64"/>
      <c r="AR86" s="64"/>
      <c r="AS86" s="83"/>
      <c r="AT86" s="63"/>
      <c r="AU86" s="63"/>
      <c r="AV86" s="63"/>
      <c r="AW86" s="63"/>
      <c r="AX86" s="63"/>
    </row>
    <row r="87" spans="1:50" ht="16">
      <c r="A87" s="85">
        <v>73</v>
      </c>
      <c r="B87" s="64"/>
      <c r="C87" s="64"/>
      <c r="D87" s="64"/>
      <c r="E87" s="72"/>
      <c r="F87" s="72"/>
      <c r="G87" s="71">
        <f t="shared" si="2"/>
        <v>0</v>
      </c>
      <c r="H87" s="70"/>
      <c r="I87" s="64"/>
      <c r="J87" s="64"/>
      <c r="K87" s="69"/>
      <c r="L87" s="64"/>
      <c r="M87" s="68">
        <f t="shared" si="3"/>
        <v>0</v>
      </c>
      <c r="N87" s="64"/>
      <c r="O87" s="64"/>
      <c r="P87" s="64"/>
      <c r="Q87" s="66"/>
      <c r="R87" s="65"/>
      <c r="S87" s="64"/>
      <c r="T87" s="64"/>
      <c r="U87" s="64"/>
      <c r="V87" s="66"/>
      <c r="W87" s="65"/>
      <c r="X87" s="64"/>
      <c r="Y87" s="64"/>
      <c r="Z87" s="64"/>
      <c r="AA87" s="66"/>
      <c r="AB87" s="65"/>
      <c r="AC87" s="64"/>
      <c r="AD87" s="64"/>
      <c r="AE87" s="64"/>
      <c r="AF87" s="66"/>
      <c r="AG87" s="65"/>
      <c r="AH87" s="64"/>
      <c r="AI87" s="64"/>
      <c r="AJ87" s="66"/>
      <c r="AK87" s="65"/>
      <c r="AL87" s="64"/>
      <c r="AM87" s="64"/>
      <c r="AN87" s="66"/>
      <c r="AO87" s="65"/>
      <c r="AP87" s="64"/>
      <c r="AQ87" s="64"/>
      <c r="AR87" s="64"/>
      <c r="AS87" s="83"/>
      <c r="AT87" s="63"/>
      <c r="AU87" s="63"/>
      <c r="AV87" s="63"/>
      <c r="AW87" s="63"/>
      <c r="AX87" s="63"/>
    </row>
    <row r="88" spans="1:50" ht="16">
      <c r="A88" s="85">
        <v>74</v>
      </c>
      <c r="B88" s="64"/>
      <c r="C88" s="64"/>
      <c r="D88" s="64"/>
      <c r="E88" s="72"/>
      <c r="F88" s="72"/>
      <c r="G88" s="71">
        <f t="shared" si="2"/>
        <v>0</v>
      </c>
      <c r="H88" s="70"/>
      <c r="I88" s="64"/>
      <c r="J88" s="64"/>
      <c r="K88" s="69"/>
      <c r="L88" s="64"/>
      <c r="M88" s="68">
        <f t="shared" si="3"/>
        <v>0</v>
      </c>
      <c r="N88" s="64"/>
      <c r="O88" s="64"/>
      <c r="P88" s="64"/>
      <c r="Q88" s="66"/>
      <c r="R88" s="65"/>
      <c r="S88" s="64"/>
      <c r="T88" s="64"/>
      <c r="U88" s="64"/>
      <c r="V88" s="66"/>
      <c r="W88" s="65"/>
      <c r="X88" s="64"/>
      <c r="Y88" s="64"/>
      <c r="Z88" s="64"/>
      <c r="AA88" s="66"/>
      <c r="AB88" s="65"/>
      <c r="AC88" s="64"/>
      <c r="AD88" s="64"/>
      <c r="AE88" s="64"/>
      <c r="AF88" s="66"/>
      <c r="AG88" s="65"/>
      <c r="AH88" s="64"/>
      <c r="AI88" s="64"/>
      <c r="AJ88" s="66"/>
      <c r="AK88" s="65"/>
      <c r="AL88" s="64"/>
      <c r="AM88" s="64"/>
      <c r="AN88" s="66"/>
      <c r="AO88" s="65"/>
      <c r="AP88" s="64"/>
      <c r="AQ88" s="64"/>
      <c r="AR88" s="64"/>
      <c r="AS88" s="83"/>
      <c r="AT88" s="63"/>
      <c r="AU88" s="63"/>
      <c r="AV88" s="63"/>
      <c r="AW88" s="63"/>
      <c r="AX88" s="63"/>
    </row>
    <row r="89" spans="1:50" ht="16">
      <c r="A89" s="85">
        <v>75</v>
      </c>
      <c r="B89" s="64"/>
      <c r="C89" s="64"/>
      <c r="D89" s="64"/>
      <c r="E89" s="72"/>
      <c r="F89" s="72"/>
      <c r="G89" s="71">
        <f t="shared" si="2"/>
        <v>0</v>
      </c>
      <c r="H89" s="70"/>
      <c r="I89" s="64"/>
      <c r="J89" s="64"/>
      <c r="K89" s="69"/>
      <c r="L89" s="64"/>
      <c r="M89" s="68">
        <f t="shared" si="3"/>
        <v>0</v>
      </c>
      <c r="N89" s="64"/>
      <c r="O89" s="64"/>
      <c r="P89" s="64"/>
      <c r="Q89" s="66"/>
      <c r="R89" s="65"/>
      <c r="S89" s="64"/>
      <c r="T89" s="64"/>
      <c r="U89" s="64"/>
      <c r="V89" s="66"/>
      <c r="W89" s="65"/>
      <c r="X89" s="64"/>
      <c r="Y89" s="64"/>
      <c r="Z89" s="64"/>
      <c r="AA89" s="66"/>
      <c r="AB89" s="65"/>
      <c r="AC89" s="64"/>
      <c r="AD89" s="64"/>
      <c r="AE89" s="64"/>
      <c r="AF89" s="66"/>
      <c r="AG89" s="65"/>
      <c r="AH89" s="64"/>
      <c r="AI89" s="64"/>
      <c r="AJ89" s="66"/>
      <c r="AK89" s="65"/>
      <c r="AL89" s="64"/>
      <c r="AM89" s="64"/>
      <c r="AN89" s="66"/>
      <c r="AO89" s="65"/>
      <c r="AP89" s="64"/>
      <c r="AQ89" s="64"/>
      <c r="AR89" s="64"/>
      <c r="AS89" s="83"/>
      <c r="AT89" s="63"/>
      <c r="AU89" s="63"/>
      <c r="AV89" s="63"/>
      <c r="AW89" s="63"/>
      <c r="AX89" s="63"/>
    </row>
    <row r="90" spans="1:50" ht="16">
      <c r="A90" s="85">
        <v>76</v>
      </c>
      <c r="B90" s="64"/>
      <c r="C90" s="64"/>
      <c r="D90" s="64"/>
      <c r="E90" s="72"/>
      <c r="F90" s="72"/>
      <c r="G90" s="71">
        <f t="shared" si="2"/>
        <v>0</v>
      </c>
      <c r="H90" s="70"/>
      <c r="I90" s="64"/>
      <c r="J90" s="64"/>
      <c r="K90" s="69"/>
      <c r="L90" s="64"/>
      <c r="M90" s="68">
        <f t="shared" si="3"/>
        <v>0</v>
      </c>
      <c r="N90" s="64"/>
      <c r="O90" s="64"/>
      <c r="P90" s="64"/>
      <c r="Q90" s="66"/>
      <c r="R90" s="65"/>
      <c r="S90" s="64"/>
      <c r="T90" s="64"/>
      <c r="U90" s="64"/>
      <c r="V90" s="66"/>
      <c r="W90" s="65"/>
      <c r="X90" s="64"/>
      <c r="Y90" s="64"/>
      <c r="Z90" s="64"/>
      <c r="AA90" s="66"/>
      <c r="AB90" s="65"/>
      <c r="AC90" s="64"/>
      <c r="AD90" s="64"/>
      <c r="AE90" s="64"/>
      <c r="AF90" s="66"/>
      <c r="AG90" s="65"/>
      <c r="AH90" s="64"/>
      <c r="AI90" s="64"/>
      <c r="AJ90" s="66"/>
      <c r="AK90" s="65"/>
      <c r="AL90" s="64"/>
      <c r="AM90" s="64"/>
      <c r="AN90" s="66"/>
      <c r="AO90" s="65"/>
      <c r="AP90" s="64"/>
      <c r="AQ90" s="64"/>
      <c r="AR90" s="64"/>
      <c r="AS90" s="83"/>
      <c r="AT90" s="63"/>
      <c r="AU90" s="63"/>
      <c r="AV90" s="63"/>
      <c r="AW90" s="63"/>
      <c r="AX90" s="63"/>
    </row>
    <row r="91" spans="1:50" ht="16">
      <c r="A91" s="85">
        <v>77</v>
      </c>
      <c r="B91" s="64"/>
      <c r="C91" s="64"/>
      <c r="D91" s="64"/>
      <c r="E91" s="72"/>
      <c r="F91" s="72"/>
      <c r="G91" s="71">
        <f t="shared" si="2"/>
        <v>0</v>
      </c>
      <c r="H91" s="70"/>
      <c r="I91" s="64"/>
      <c r="J91" s="64"/>
      <c r="K91" s="69"/>
      <c r="L91" s="64"/>
      <c r="M91" s="68">
        <f t="shared" si="3"/>
        <v>0</v>
      </c>
      <c r="N91" s="64"/>
      <c r="O91" s="64"/>
      <c r="P91" s="64"/>
      <c r="Q91" s="66"/>
      <c r="R91" s="65"/>
      <c r="S91" s="64"/>
      <c r="T91" s="64"/>
      <c r="U91" s="64"/>
      <c r="V91" s="66"/>
      <c r="W91" s="65"/>
      <c r="X91" s="64"/>
      <c r="Y91" s="64"/>
      <c r="Z91" s="64"/>
      <c r="AA91" s="66"/>
      <c r="AB91" s="65"/>
      <c r="AC91" s="64"/>
      <c r="AD91" s="64"/>
      <c r="AE91" s="64"/>
      <c r="AF91" s="66"/>
      <c r="AG91" s="65"/>
      <c r="AH91" s="64"/>
      <c r="AI91" s="64"/>
      <c r="AJ91" s="66"/>
      <c r="AK91" s="65"/>
      <c r="AL91" s="64"/>
      <c r="AM91" s="64"/>
      <c r="AN91" s="66"/>
      <c r="AO91" s="65"/>
      <c r="AP91" s="64"/>
      <c r="AQ91" s="64"/>
      <c r="AR91" s="64"/>
      <c r="AS91" s="83"/>
      <c r="AT91" s="63"/>
      <c r="AU91" s="63"/>
      <c r="AV91" s="63"/>
      <c r="AW91" s="63"/>
      <c r="AX91" s="63"/>
    </row>
    <row r="92" spans="1:50" ht="16">
      <c r="A92" s="85">
        <v>78</v>
      </c>
      <c r="B92" s="64"/>
      <c r="C92" s="64"/>
      <c r="D92" s="64"/>
      <c r="E92" s="72"/>
      <c r="F92" s="72"/>
      <c r="G92" s="71">
        <f t="shared" si="2"/>
        <v>0</v>
      </c>
      <c r="H92" s="70"/>
      <c r="I92" s="64"/>
      <c r="J92" s="64"/>
      <c r="K92" s="69"/>
      <c r="L92" s="64"/>
      <c r="M92" s="68">
        <f t="shared" si="3"/>
        <v>0</v>
      </c>
      <c r="N92" s="64"/>
      <c r="O92" s="64"/>
      <c r="P92" s="64"/>
      <c r="Q92" s="66"/>
      <c r="R92" s="65"/>
      <c r="S92" s="64"/>
      <c r="T92" s="64"/>
      <c r="U92" s="64"/>
      <c r="V92" s="66"/>
      <c r="W92" s="65"/>
      <c r="X92" s="64"/>
      <c r="Y92" s="64"/>
      <c r="Z92" s="64"/>
      <c r="AA92" s="66"/>
      <c r="AB92" s="65"/>
      <c r="AC92" s="64"/>
      <c r="AD92" s="64"/>
      <c r="AE92" s="64"/>
      <c r="AF92" s="66"/>
      <c r="AG92" s="65"/>
      <c r="AH92" s="64"/>
      <c r="AI92" s="64"/>
      <c r="AJ92" s="66"/>
      <c r="AK92" s="65"/>
      <c r="AL92" s="64"/>
      <c r="AM92" s="64"/>
      <c r="AN92" s="66"/>
      <c r="AO92" s="65"/>
      <c r="AP92" s="64"/>
      <c r="AQ92" s="64"/>
      <c r="AR92" s="64"/>
      <c r="AS92" s="83"/>
      <c r="AT92" s="63"/>
      <c r="AU92" s="63"/>
      <c r="AV92" s="63"/>
      <c r="AW92" s="63"/>
      <c r="AX92" s="63"/>
    </row>
    <row r="93" spans="1:50" ht="16">
      <c r="A93" s="85">
        <v>79</v>
      </c>
      <c r="B93" s="64"/>
      <c r="C93" s="64"/>
      <c r="D93" s="64"/>
      <c r="E93" s="72"/>
      <c r="F93" s="72"/>
      <c r="G93" s="71">
        <f t="shared" si="2"/>
        <v>0</v>
      </c>
      <c r="H93" s="70"/>
      <c r="I93" s="64"/>
      <c r="J93" s="64"/>
      <c r="K93" s="69"/>
      <c r="L93" s="64"/>
      <c r="M93" s="68">
        <f t="shared" si="3"/>
        <v>0</v>
      </c>
      <c r="N93" s="64"/>
      <c r="O93" s="64"/>
      <c r="P93" s="64"/>
      <c r="Q93" s="66"/>
      <c r="R93" s="65"/>
      <c r="S93" s="64"/>
      <c r="T93" s="64"/>
      <c r="U93" s="64"/>
      <c r="V93" s="66"/>
      <c r="W93" s="65"/>
      <c r="X93" s="64"/>
      <c r="Y93" s="64"/>
      <c r="Z93" s="64"/>
      <c r="AA93" s="66"/>
      <c r="AB93" s="65"/>
      <c r="AC93" s="64"/>
      <c r="AD93" s="64"/>
      <c r="AE93" s="64"/>
      <c r="AF93" s="66"/>
      <c r="AG93" s="65"/>
      <c r="AH93" s="64"/>
      <c r="AI93" s="64"/>
      <c r="AJ93" s="66"/>
      <c r="AK93" s="65"/>
      <c r="AL93" s="64"/>
      <c r="AM93" s="64"/>
      <c r="AN93" s="66"/>
      <c r="AO93" s="65"/>
      <c r="AP93" s="64"/>
      <c r="AQ93" s="64"/>
      <c r="AR93" s="64"/>
      <c r="AS93" s="83"/>
      <c r="AT93" s="63"/>
      <c r="AU93" s="63"/>
      <c r="AV93" s="63"/>
      <c r="AW93" s="63"/>
      <c r="AX93" s="63"/>
    </row>
    <row r="94" spans="1:50" ht="16">
      <c r="A94" s="85">
        <v>80</v>
      </c>
      <c r="B94" s="64"/>
      <c r="C94" s="64"/>
      <c r="D94" s="64"/>
      <c r="E94" s="72"/>
      <c r="F94" s="72"/>
      <c r="G94" s="71">
        <f t="shared" si="2"/>
        <v>0</v>
      </c>
      <c r="H94" s="70"/>
      <c r="I94" s="64"/>
      <c r="J94" s="64"/>
      <c r="K94" s="69"/>
      <c r="L94" s="64"/>
      <c r="M94" s="68">
        <f t="shared" si="3"/>
        <v>0</v>
      </c>
      <c r="N94" s="64"/>
      <c r="O94" s="64"/>
      <c r="P94" s="64"/>
      <c r="Q94" s="66"/>
      <c r="R94" s="65"/>
      <c r="S94" s="64"/>
      <c r="T94" s="64"/>
      <c r="U94" s="64"/>
      <c r="V94" s="66"/>
      <c r="W94" s="65"/>
      <c r="X94" s="64"/>
      <c r="Y94" s="64"/>
      <c r="Z94" s="64"/>
      <c r="AA94" s="66"/>
      <c r="AB94" s="65"/>
      <c r="AC94" s="64"/>
      <c r="AD94" s="64"/>
      <c r="AE94" s="64"/>
      <c r="AF94" s="66"/>
      <c r="AG94" s="65"/>
      <c r="AH94" s="64"/>
      <c r="AI94" s="64"/>
      <c r="AJ94" s="66"/>
      <c r="AK94" s="65"/>
      <c r="AL94" s="64"/>
      <c r="AM94" s="64"/>
      <c r="AN94" s="66"/>
      <c r="AO94" s="65"/>
      <c r="AP94" s="64"/>
      <c r="AQ94" s="64"/>
      <c r="AR94" s="64"/>
      <c r="AS94" s="83"/>
      <c r="AT94" s="63"/>
      <c r="AU94" s="63"/>
      <c r="AV94" s="63"/>
      <c r="AW94" s="63"/>
      <c r="AX94" s="63"/>
    </row>
    <row r="95" spans="1:50" ht="16">
      <c r="A95" s="85">
        <v>81</v>
      </c>
      <c r="B95" s="64"/>
      <c r="C95" s="64"/>
      <c r="D95" s="64"/>
      <c r="E95" s="72"/>
      <c r="F95" s="72"/>
      <c r="G95" s="71">
        <f t="shared" si="2"/>
        <v>0</v>
      </c>
      <c r="H95" s="70"/>
      <c r="I95" s="64"/>
      <c r="J95" s="64"/>
      <c r="K95" s="69"/>
      <c r="L95" s="64"/>
      <c r="M95" s="68">
        <f t="shared" si="3"/>
        <v>0</v>
      </c>
      <c r="N95" s="64"/>
      <c r="O95" s="64"/>
      <c r="P95" s="64"/>
      <c r="Q95" s="66"/>
      <c r="R95" s="65"/>
      <c r="S95" s="64"/>
      <c r="T95" s="64"/>
      <c r="U95" s="64"/>
      <c r="V95" s="66"/>
      <c r="W95" s="65"/>
      <c r="X95" s="64"/>
      <c r="Y95" s="64"/>
      <c r="Z95" s="64"/>
      <c r="AA95" s="66"/>
      <c r="AB95" s="65"/>
      <c r="AC95" s="64"/>
      <c r="AD95" s="64"/>
      <c r="AE95" s="64"/>
      <c r="AF95" s="66"/>
      <c r="AG95" s="65"/>
      <c r="AH95" s="64"/>
      <c r="AI95" s="64"/>
      <c r="AJ95" s="66"/>
      <c r="AK95" s="65"/>
      <c r="AL95" s="64"/>
      <c r="AM95" s="64"/>
      <c r="AN95" s="66"/>
      <c r="AO95" s="65"/>
      <c r="AP95" s="64"/>
      <c r="AQ95" s="64"/>
      <c r="AR95" s="64"/>
      <c r="AS95" s="83"/>
      <c r="AT95" s="63"/>
      <c r="AU95" s="63"/>
      <c r="AV95" s="63"/>
      <c r="AW95" s="63"/>
      <c r="AX95" s="63"/>
    </row>
    <row r="96" spans="1:50" ht="16">
      <c r="A96" s="85">
        <v>82</v>
      </c>
      <c r="B96" s="64"/>
      <c r="C96" s="64"/>
      <c r="D96" s="64"/>
      <c r="E96" s="72"/>
      <c r="F96" s="72"/>
      <c r="G96" s="71">
        <f t="shared" si="2"/>
        <v>0</v>
      </c>
      <c r="H96" s="70"/>
      <c r="I96" s="64"/>
      <c r="J96" s="64"/>
      <c r="K96" s="69"/>
      <c r="L96" s="64"/>
      <c r="M96" s="68">
        <f t="shared" si="3"/>
        <v>0</v>
      </c>
      <c r="N96" s="64"/>
      <c r="O96" s="64"/>
      <c r="P96" s="64"/>
      <c r="Q96" s="66"/>
      <c r="R96" s="65"/>
      <c r="S96" s="64"/>
      <c r="T96" s="64"/>
      <c r="U96" s="64"/>
      <c r="V96" s="66"/>
      <c r="W96" s="65"/>
      <c r="X96" s="64"/>
      <c r="Y96" s="64"/>
      <c r="Z96" s="64"/>
      <c r="AA96" s="66"/>
      <c r="AB96" s="65"/>
      <c r="AC96" s="64"/>
      <c r="AD96" s="64"/>
      <c r="AE96" s="64"/>
      <c r="AF96" s="66"/>
      <c r="AG96" s="65"/>
      <c r="AH96" s="64"/>
      <c r="AI96" s="64"/>
      <c r="AJ96" s="66"/>
      <c r="AK96" s="65"/>
      <c r="AL96" s="64"/>
      <c r="AM96" s="64"/>
      <c r="AN96" s="66"/>
      <c r="AO96" s="65"/>
      <c r="AP96" s="64"/>
      <c r="AQ96" s="64"/>
      <c r="AR96" s="64"/>
      <c r="AS96" s="83"/>
      <c r="AT96" s="63"/>
      <c r="AU96" s="63"/>
      <c r="AV96" s="63"/>
      <c r="AW96" s="63"/>
      <c r="AX96" s="63"/>
    </row>
    <row r="97" spans="1:50" ht="16">
      <c r="A97" s="85">
        <v>83</v>
      </c>
      <c r="B97" s="64"/>
      <c r="C97" s="64"/>
      <c r="D97" s="64"/>
      <c r="E97" s="72"/>
      <c r="F97" s="72"/>
      <c r="G97" s="71">
        <f t="shared" si="2"/>
        <v>0</v>
      </c>
      <c r="H97" s="70"/>
      <c r="I97" s="64"/>
      <c r="J97" s="64"/>
      <c r="K97" s="69"/>
      <c r="L97" s="64"/>
      <c r="M97" s="68">
        <f t="shared" si="3"/>
        <v>0</v>
      </c>
      <c r="N97" s="64"/>
      <c r="O97" s="64"/>
      <c r="P97" s="64"/>
      <c r="Q97" s="66"/>
      <c r="R97" s="65"/>
      <c r="S97" s="64"/>
      <c r="T97" s="64"/>
      <c r="U97" s="64"/>
      <c r="V97" s="66"/>
      <c r="W97" s="65"/>
      <c r="X97" s="64"/>
      <c r="Y97" s="64"/>
      <c r="Z97" s="64"/>
      <c r="AA97" s="66"/>
      <c r="AB97" s="65"/>
      <c r="AC97" s="64"/>
      <c r="AD97" s="64"/>
      <c r="AE97" s="64"/>
      <c r="AF97" s="66"/>
      <c r="AG97" s="65"/>
      <c r="AH97" s="64"/>
      <c r="AI97" s="64"/>
      <c r="AJ97" s="66"/>
      <c r="AK97" s="65"/>
      <c r="AL97" s="64"/>
      <c r="AM97" s="64"/>
      <c r="AN97" s="66"/>
      <c r="AO97" s="65"/>
      <c r="AP97" s="64"/>
      <c r="AQ97" s="64"/>
      <c r="AR97" s="64"/>
      <c r="AS97" s="83"/>
      <c r="AT97" s="63"/>
      <c r="AU97" s="63"/>
      <c r="AV97" s="63"/>
      <c r="AW97" s="63"/>
      <c r="AX97" s="63"/>
    </row>
    <row r="98" spans="1:50" ht="16">
      <c r="A98" s="85">
        <v>84</v>
      </c>
      <c r="B98" s="64"/>
      <c r="C98" s="64"/>
      <c r="D98" s="64"/>
      <c r="E98" s="72"/>
      <c r="F98" s="72"/>
      <c r="G98" s="71">
        <f t="shared" si="2"/>
        <v>0</v>
      </c>
      <c r="H98" s="70"/>
      <c r="I98" s="64"/>
      <c r="J98" s="64"/>
      <c r="K98" s="69"/>
      <c r="L98" s="64"/>
      <c r="M98" s="68">
        <f t="shared" si="3"/>
        <v>0</v>
      </c>
      <c r="N98" s="64"/>
      <c r="O98" s="64"/>
      <c r="P98" s="64"/>
      <c r="Q98" s="66"/>
      <c r="R98" s="65"/>
      <c r="S98" s="64"/>
      <c r="T98" s="64"/>
      <c r="U98" s="64"/>
      <c r="V98" s="66"/>
      <c r="W98" s="65"/>
      <c r="X98" s="64"/>
      <c r="Y98" s="64"/>
      <c r="Z98" s="64"/>
      <c r="AA98" s="66"/>
      <c r="AB98" s="65"/>
      <c r="AC98" s="64"/>
      <c r="AD98" s="64"/>
      <c r="AE98" s="64"/>
      <c r="AF98" s="66"/>
      <c r="AG98" s="65"/>
      <c r="AH98" s="64"/>
      <c r="AI98" s="64"/>
      <c r="AJ98" s="66"/>
      <c r="AK98" s="65"/>
      <c r="AL98" s="64"/>
      <c r="AM98" s="64"/>
      <c r="AN98" s="66"/>
      <c r="AO98" s="65"/>
      <c r="AP98" s="64"/>
      <c r="AQ98" s="64"/>
      <c r="AR98" s="64"/>
      <c r="AS98" s="83"/>
      <c r="AT98" s="63"/>
      <c r="AU98" s="63"/>
      <c r="AV98" s="63"/>
      <c r="AW98" s="63"/>
      <c r="AX98" s="63"/>
    </row>
    <row r="99" spans="1:50" ht="16">
      <c r="A99" s="85">
        <v>85</v>
      </c>
      <c r="B99" s="64"/>
      <c r="C99" s="64"/>
      <c r="D99" s="64"/>
      <c r="E99" s="72"/>
      <c r="F99" s="72"/>
      <c r="G99" s="71">
        <f t="shared" si="2"/>
        <v>0</v>
      </c>
      <c r="H99" s="70"/>
      <c r="I99" s="64"/>
      <c r="J99" s="64"/>
      <c r="K99" s="69"/>
      <c r="L99" s="64"/>
      <c r="M99" s="68">
        <f t="shared" si="3"/>
        <v>0</v>
      </c>
      <c r="N99" s="64"/>
      <c r="O99" s="64"/>
      <c r="P99" s="64"/>
      <c r="Q99" s="66"/>
      <c r="R99" s="65"/>
      <c r="S99" s="64"/>
      <c r="T99" s="64"/>
      <c r="U99" s="64"/>
      <c r="V99" s="66"/>
      <c r="W99" s="65"/>
      <c r="X99" s="64"/>
      <c r="Y99" s="64"/>
      <c r="Z99" s="64"/>
      <c r="AA99" s="66"/>
      <c r="AB99" s="65"/>
      <c r="AC99" s="64"/>
      <c r="AD99" s="64"/>
      <c r="AE99" s="64"/>
      <c r="AF99" s="66"/>
      <c r="AG99" s="65"/>
      <c r="AH99" s="64"/>
      <c r="AI99" s="64"/>
      <c r="AJ99" s="66"/>
      <c r="AK99" s="65"/>
      <c r="AL99" s="64"/>
      <c r="AM99" s="64"/>
      <c r="AN99" s="66"/>
      <c r="AO99" s="65"/>
      <c r="AP99" s="64"/>
      <c r="AQ99" s="64"/>
      <c r="AR99" s="64"/>
      <c r="AS99" s="83"/>
      <c r="AT99" s="63"/>
      <c r="AU99" s="63"/>
      <c r="AV99" s="63"/>
      <c r="AW99" s="63"/>
      <c r="AX99" s="63"/>
    </row>
    <row r="100" spans="1:50" ht="16">
      <c r="A100" s="85">
        <v>86</v>
      </c>
      <c r="B100" s="64"/>
      <c r="C100" s="64"/>
      <c r="D100" s="64"/>
      <c r="E100" s="72"/>
      <c r="F100" s="72"/>
      <c r="G100" s="71">
        <f t="shared" si="2"/>
        <v>0</v>
      </c>
      <c r="H100" s="70"/>
      <c r="I100" s="64"/>
      <c r="J100" s="64"/>
      <c r="K100" s="69"/>
      <c r="L100" s="64"/>
      <c r="M100" s="68">
        <f t="shared" si="3"/>
        <v>0</v>
      </c>
      <c r="N100" s="64"/>
      <c r="O100" s="64"/>
      <c r="P100" s="64"/>
      <c r="Q100" s="66"/>
      <c r="R100" s="65"/>
      <c r="S100" s="64"/>
      <c r="T100" s="64"/>
      <c r="U100" s="64"/>
      <c r="V100" s="66"/>
      <c r="W100" s="65"/>
      <c r="X100" s="64"/>
      <c r="Y100" s="64"/>
      <c r="Z100" s="64"/>
      <c r="AA100" s="66"/>
      <c r="AB100" s="65"/>
      <c r="AC100" s="64"/>
      <c r="AD100" s="64"/>
      <c r="AE100" s="64"/>
      <c r="AF100" s="66"/>
      <c r="AG100" s="65"/>
      <c r="AH100" s="64"/>
      <c r="AI100" s="64"/>
      <c r="AJ100" s="66"/>
      <c r="AK100" s="65"/>
      <c r="AL100" s="64"/>
      <c r="AM100" s="64"/>
      <c r="AN100" s="66"/>
      <c r="AO100" s="65"/>
      <c r="AP100" s="64"/>
      <c r="AQ100" s="64"/>
      <c r="AR100" s="64"/>
      <c r="AS100" s="83"/>
      <c r="AT100" s="63"/>
      <c r="AU100" s="63"/>
      <c r="AV100" s="63"/>
      <c r="AW100" s="63"/>
      <c r="AX100" s="63"/>
    </row>
    <row r="101" spans="1:50" ht="16">
      <c r="A101" s="85">
        <v>87</v>
      </c>
      <c r="B101" s="64"/>
      <c r="C101" s="64"/>
      <c r="D101" s="64"/>
      <c r="E101" s="72"/>
      <c r="F101" s="72"/>
      <c r="G101" s="71">
        <f t="shared" si="2"/>
        <v>0</v>
      </c>
      <c r="H101" s="70"/>
      <c r="I101" s="64"/>
      <c r="J101" s="64"/>
      <c r="K101" s="69"/>
      <c r="L101" s="64"/>
      <c r="M101" s="68">
        <f t="shared" si="3"/>
        <v>0</v>
      </c>
      <c r="N101" s="64"/>
      <c r="O101" s="64"/>
      <c r="P101" s="64"/>
      <c r="Q101" s="66"/>
      <c r="R101" s="65"/>
      <c r="S101" s="64"/>
      <c r="T101" s="64"/>
      <c r="U101" s="64"/>
      <c r="V101" s="66"/>
      <c r="W101" s="65"/>
      <c r="X101" s="64"/>
      <c r="Y101" s="64"/>
      <c r="Z101" s="64"/>
      <c r="AA101" s="66"/>
      <c r="AB101" s="65"/>
      <c r="AC101" s="64"/>
      <c r="AD101" s="64"/>
      <c r="AE101" s="64"/>
      <c r="AF101" s="66"/>
      <c r="AG101" s="65"/>
      <c r="AH101" s="64"/>
      <c r="AI101" s="64"/>
      <c r="AJ101" s="66"/>
      <c r="AK101" s="65"/>
      <c r="AL101" s="64"/>
      <c r="AM101" s="64"/>
      <c r="AN101" s="66"/>
      <c r="AO101" s="65"/>
      <c r="AP101" s="64"/>
      <c r="AQ101" s="64"/>
      <c r="AR101" s="64"/>
      <c r="AS101" s="83"/>
      <c r="AT101" s="63"/>
      <c r="AU101" s="63"/>
      <c r="AV101" s="63"/>
      <c r="AW101" s="63"/>
      <c r="AX101" s="63"/>
    </row>
    <row r="102" spans="1:50" ht="16.5" thickBot="1">
      <c r="A102" s="85">
        <v>88</v>
      </c>
      <c r="B102" s="64"/>
      <c r="C102" s="64"/>
      <c r="D102" s="64"/>
      <c r="E102" s="72"/>
      <c r="F102" s="72"/>
      <c r="G102" s="71">
        <f t="shared" si="2"/>
        <v>0</v>
      </c>
      <c r="H102" s="70"/>
      <c r="I102" s="64"/>
      <c r="J102" s="64"/>
      <c r="K102" s="69"/>
      <c r="L102" s="64"/>
      <c r="M102" s="68">
        <f t="shared" si="3"/>
        <v>0</v>
      </c>
      <c r="N102" s="64"/>
      <c r="O102" s="64"/>
      <c r="P102" s="64"/>
      <c r="Q102" s="66"/>
      <c r="R102" s="65"/>
      <c r="S102" s="64"/>
      <c r="T102" s="64"/>
      <c r="U102" s="64"/>
      <c r="V102" s="66"/>
      <c r="W102" s="65"/>
      <c r="X102" s="64"/>
      <c r="Y102" s="64"/>
      <c r="Z102" s="64"/>
      <c r="AA102" s="66"/>
      <c r="AB102" s="65"/>
      <c r="AC102" s="64"/>
      <c r="AD102" s="64"/>
      <c r="AE102" s="64"/>
      <c r="AF102" s="67"/>
      <c r="AG102" s="65"/>
      <c r="AH102" s="64"/>
      <c r="AI102" s="64"/>
      <c r="AJ102" s="66"/>
      <c r="AK102" s="65"/>
      <c r="AL102" s="64"/>
      <c r="AM102" s="64"/>
      <c r="AN102" s="66"/>
      <c r="AO102" s="65"/>
      <c r="AP102" s="64"/>
      <c r="AQ102" s="64"/>
      <c r="AR102" s="64"/>
      <c r="AS102" s="83"/>
      <c r="AT102" s="63"/>
      <c r="AU102" s="63"/>
      <c r="AV102" s="63"/>
      <c r="AW102" s="63"/>
      <c r="AX102" s="63"/>
    </row>
    <row r="103" spans="1:50" ht="16.5" thickTop="1">
      <c r="A103" s="85">
        <v>89</v>
      </c>
      <c r="B103" s="64"/>
      <c r="C103" s="64"/>
      <c r="D103" s="64"/>
      <c r="E103" s="72"/>
      <c r="F103" s="72"/>
      <c r="G103" s="71">
        <f t="shared" si="2"/>
        <v>0</v>
      </c>
      <c r="H103" s="70"/>
      <c r="I103" s="64"/>
      <c r="J103" s="64"/>
      <c r="K103" s="69"/>
      <c r="L103" s="64"/>
      <c r="M103" s="68">
        <f t="shared" si="3"/>
        <v>0</v>
      </c>
      <c r="N103" s="64"/>
      <c r="O103" s="64"/>
      <c r="P103" s="64"/>
      <c r="Q103" s="66"/>
      <c r="R103" s="65"/>
      <c r="S103" s="64"/>
      <c r="T103" s="64"/>
      <c r="U103" s="64"/>
      <c r="V103" s="66"/>
      <c r="W103" s="65"/>
      <c r="X103" s="64"/>
      <c r="Y103" s="64"/>
      <c r="Z103" s="64"/>
      <c r="AA103" s="66"/>
      <c r="AB103" s="65"/>
      <c r="AC103" s="64"/>
      <c r="AD103" s="64"/>
      <c r="AE103" s="64"/>
      <c r="AF103" s="73"/>
      <c r="AG103" s="65"/>
      <c r="AH103" s="64"/>
      <c r="AI103" s="64"/>
      <c r="AJ103" s="66"/>
      <c r="AK103" s="65"/>
      <c r="AL103" s="64"/>
      <c r="AM103" s="64"/>
      <c r="AN103" s="66"/>
      <c r="AO103" s="65"/>
      <c r="AP103" s="64"/>
      <c r="AQ103" s="64"/>
      <c r="AR103" s="64"/>
      <c r="AS103" s="83"/>
      <c r="AT103" s="63"/>
      <c r="AU103" s="63"/>
      <c r="AV103" s="63"/>
      <c r="AW103" s="63"/>
      <c r="AX103" s="63"/>
    </row>
    <row r="104" spans="1:50" ht="16">
      <c r="A104" s="85">
        <v>90</v>
      </c>
      <c r="B104" s="64"/>
      <c r="C104" s="64"/>
      <c r="D104" s="64"/>
      <c r="E104" s="72"/>
      <c r="F104" s="72"/>
      <c r="G104" s="71">
        <f t="shared" si="2"/>
        <v>0</v>
      </c>
      <c r="H104" s="70"/>
      <c r="I104" s="64"/>
      <c r="J104" s="64"/>
      <c r="K104" s="69"/>
      <c r="L104" s="64"/>
      <c r="M104" s="68">
        <f t="shared" si="3"/>
        <v>0</v>
      </c>
      <c r="N104" s="64"/>
      <c r="O104" s="64"/>
      <c r="P104" s="64"/>
      <c r="Q104" s="66"/>
      <c r="R104" s="65"/>
      <c r="S104" s="64"/>
      <c r="T104" s="64"/>
      <c r="U104" s="64"/>
      <c r="V104" s="66"/>
      <c r="W104" s="65"/>
      <c r="X104" s="64"/>
      <c r="Y104" s="64"/>
      <c r="Z104" s="64"/>
      <c r="AA104" s="66"/>
      <c r="AB104" s="65"/>
      <c r="AC104" s="64"/>
      <c r="AD104" s="64"/>
      <c r="AE104" s="64"/>
      <c r="AF104" s="66"/>
      <c r="AG104" s="65"/>
      <c r="AH104" s="64"/>
      <c r="AI104" s="64"/>
      <c r="AJ104" s="66"/>
      <c r="AK104" s="65"/>
      <c r="AL104" s="64"/>
      <c r="AM104" s="64"/>
      <c r="AN104" s="66"/>
      <c r="AO104" s="65"/>
      <c r="AP104" s="64"/>
      <c r="AQ104" s="64"/>
      <c r="AR104" s="64"/>
      <c r="AS104" s="83"/>
      <c r="AT104" s="63"/>
      <c r="AU104" s="63"/>
      <c r="AV104" s="63"/>
      <c r="AW104" s="63"/>
      <c r="AX104" s="63"/>
    </row>
    <row r="105" spans="1:50" ht="16">
      <c r="A105" s="85">
        <v>91</v>
      </c>
      <c r="B105" s="64"/>
      <c r="C105" s="64"/>
      <c r="D105" s="64"/>
      <c r="E105" s="72"/>
      <c r="F105" s="72"/>
      <c r="G105" s="71">
        <f t="shared" si="2"/>
        <v>0</v>
      </c>
      <c r="H105" s="70"/>
      <c r="I105" s="64"/>
      <c r="J105" s="64"/>
      <c r="K105" s="69"/>
      <c r="L105" s="64"/>
      <c r="M105" s="68">
        <f t="shared" si="3"/>
        <v>0</v>
      </c>
      <c r="N105" s="64"/>
      <c r="O105" s="64"/>
      <c r="P105" s="64"/>
      <c r="Q105" s="66"/>
      <c r="R105" s="65"/>
      <c r="S105" s="64"/>
      <c r="T105" s="64"/>
      <c r="U105" s="64"/>
      <c r="V105" s="66"/>
      <c r="W105" s="65"/>
      <c r="X105" s="64"/>
      <c r="Y105" s="64"/>
      <c r="Z105" s="64"/>
      <c r="AA105" s="66"/>
      <c r="AB105" s="65"/>
      <c r="AC105" s="64"/>
      <c r="AD105" s="64"/>
      <c r="AE105" s="64"/>
      <c r="AF105" s="66"/>
      <c r="AG105" s="65"/>
      <c r="AH105" s="64"/>
      <c r="AI105" s="64"/>
      <c r="AJ105" s="66"/>
      <c r="AK105" s="65"/>
      <c r="AL105" s="64"/>
      <c r="AM105" s="64"/>
      <c r="AN105" s="66"/>
      <c r="AO105" s="65"/>
      <c r="AP105" s="64"/>
      <c r="AQ105" s="64"/>
      <c r="AR105" s="64"/>
      <c r="AS105" s="83"/>
      <c r="AT105" s="63"/>
      <c r="AU105" s="63"/>
      <c r="AV105" s="63"/>
      <c r="AW105" s="63"/>
      <c r="AX105" s="63"/>
    </row>
    <row r="106" spans="1:50" ht="16">
      <c r="A106" s="85">
        <v>92</v>
      </c>
      <c r="B106" s="64"/>
      <c r="C106" s="64"/>
      <c r="D106" s="64"/>
      <c r="E106" s="72"/>
      <c r="F106" s="72"/>
      <c r="G106" s="71">
        <f t="shared" si="2"/>
        <v>0</v>
      </c>
      <c r="H106" s="70"/>
      <c r="I106" s="64"/>
      <c r="J106" s="64"/>
      <c r="K106" s="69"/>
      <c r="L106" s="64"/>
      <c r="M106" s="68">
        <f t="shared" si="3"/>
        <v>0</v>
      </c>
      <c r="N106" s="64"/>
      <c r="O106" s="64"/>
      <c r="P106" s="64"/>
      <c r="Q106" s="66"/>
      <c r="R106" s="65"/>
      <c r="S106" s="64"/>
      <c r="T106" s="64"/>
      <c r="U106" s="64"/>
      <c r="V106" s="66"/>
      <c r="W106" s="65"/>
      <c r="X106" s="64"/>
      <c r="Y106" s="64"/>
      <c r="Z106" s="64"/>
      <c r="AA106" s="66"/>
      <c r="AB106" s="65"/>
      <c r="AC106" s="64"/>
      <c r="AD106" s="64"/>
      <c r="AE106" s="64"/>
      <c r="AF106" s="66"/>
      <c r="AG106" s="65"/>
      <c r="AH106" s="64"/>
      <c r="AI106" s="64"/>
      <c r="AJ106" s="66"/>
      <c r="AK106" s="65"/>
      <c r="AL106" s="64"/>
      <c r="AM106" s="64"/>
      <c r="AN106" s="66"/>
      <c r="AO106" s="65"/>
      <c r="AP106" s="64"/>
      <c r="AQ106" s="64"/>
      <c r="AR106" s="64"/>
      <c r="AS106" s="83"/>
      <c r="AT106" s="63"/>
      <c r="AU106" s="63"/>
      <c r="AV106" s="63"/>
      <c r="AW106" s="63"/>
      <c r="AX106" s="63"/>
    </row>
    <row r="107" spans="1:50" ht="16">
      <c r="A107" s="85">
        <v>93</v>
      </c>
      <c r="B107" s="64"/>
      <c r="C107" s="64"/>
      <c r="D107" s="64"/>
      <c r="E107" s="72"/>
      <c r="F107" s="72"/>
      <c r="G107" s="71">
        <f t="shared" si="2"/>
        <v>0</v>
      </c>
      <c r="H107" s="70"/>
      <c r="I107" s="64"/>
      <c r="J107" s="64"/>
      <c r="K107" s="69"/>
      <c r="L107" s="64"/>
      <c r="M107" s="68">
        <f t="shared" si="3"/>
        <v>0</v>
      </c>
      <c r="N107" s="64"/>
      <c r="O107" s="64"/>
      <c r="P107" s="64"/>
      <c r="Q107" s="66"/>
      <c r="R107" s="65"/>
      <c r="S107" s="64"/>
      <c r="T107" s="64"/>
      <c r="U107" s="64"/>
      <c r="V107" s="66"/>
      <c r="W107" s="65"/>
      <c r="X107" s="64"/>
      <c r="Y107" s="64"/>
      <c r="Z107" s="64"/>
      <c r="AA107" s="66"/>
      <c r="AB107" s="65"/>
      <c r="AC107" s="64"/>
      <c r="AD107" s="64"/>
      <c r="AE107" s="64"/>
      <c r="AF107" s="66"/>
      <c r="AG107" s="65"/>
      <c r="AH107" s="64"/>
      <c r="AI107" s="64"/>
      <c r="AJ107" s="66"/>
      <c r="AK107" s="65"/>
      <c r="AL107" s="64"/>
      <c r="AM107" s="64"/>
      <c r="AN107" s="66"/>
      <c r="AO107" s="65"/>
      <c r="AP107" s="64"/>
      <c r="AQ107" s="64"/>
      <c r="AR107" s="64"/>
      <c r="AS107" s="83"/>
      <c r="AT107" s="63"/>
      <c r="AU107" s="63"/>
      <c r="AV107" s="63"/>
      <c r="AW107" s="63"/>
      <c r="AX107" s="63"/>
    </row>
    <row r="108" spans="1:50" ht="16">
      <c r="A108" s="85">
        <v>94</v>
      </c>
      <c r="B108" s="64"/>
      <c r="C108" s="64"/>
      <c r="D108" s="64"/>
      <c r="E108" s="72"/>
      <c r="F108" s="72"/>
      <c r="G108" s="71">
        <f t="shared" si="2"/>
        <v>0</v>
      </c>
      <c r="H108" s="70"/>
      <c r="I108" s="64"/>
      <c r="J108" s="64"/>
      <c r="K108" s="69"/>
      <c r="L108" s="64"/>
      <c r="M108" s="68">
        <f t="shared" si="3"/>
        <v>0</v>
      </c>
      <c r="N108" s="64"/>
      <c r="O108" s="64"/>
      <c r="P108" s="64"/>
      <c r="Q108" s="66"/>
      <c r="R108" s="65"/>
      <c r="S108" s="64"/>
      <c r="T108" s="64"/>
      <c r="U108" s="64"/>
      <c r="V108" s="66"/>
      <c r="W108" s="65"/>
      <c r="X108" s="64"/>
      <c r="Y108" s="64"/>
      <c r="Z108" s="64"/>
      <c r="AA108" s="66"/>
      <c r="AB108" s="65"/>
      <c r="AC108" s="64"/>
      <c r="AD108" s="64"/>
      <c r="AE108" s="64"/>
      <c r="AF108" s="66"/>
      <c r="AG108" s="65"/>
      <c r="AH108" s="64"/>
      <c r="AI108" s="64"/>
      <c r="AJ108" s="66"/>
      <c r="AK108" s="65"/>
      <c r="AL108" s="64"/>
      <c r="AM108" s="64"/>
      <c r="AN108" s="66"/>
      <c r="AO108" s="65"/>
      <c r="AP108" s="64"/>
      <c r="AQ108" s="64"/>
      <c r="AR108" s="64"/>
      <c r="AS108" s="83"/>
      <c r="AT108" s="63"/>
      <c r="AU108" s="63"/>
      <c r="AV108" s="63"/>
      <c r="AW108" s="63"/>
      <c r="AX108" s="63"/>
    </row>
    <row r="109" spans="1:50" ht="16">
      <c r="A109" s="85">
        <v>95</v>
      </c>
      <c r="B109" s="64"/>
      <c r="C109" s="64"/>
      <c r="D109" s="64"/>
      <c r="E109" s="72"/>
      <c r="F109" s="72"/>
      <c r="G109" s="71">
        <f t="shared" si="2"/>
        <v>0</v>
      </c>
      <c r="H109" s="70"/>
      <c r="I109" s="64"/>
      <c r="J109" s="64"/>
      <c r="K109" s="69"/>
      <c r="L109" s="64"/>
      <c r="M109" s="68">
        <f t="shared" si="3"/>
        <v>0</v>
      </c>
      <c r="N109" s="64"/>
      <c r="O109" s="64"/>
      <c r="P109" s="64"/>
      <c r="Q109" s="66"/>
      <c r="R109" s="65"/>
      <c r="S109" s="64"/>
      <c r="T109" s="64"/>
      <c r="U109" s="64"/>
      <c r="V109" s="66"/>
      <c r="W109" s="65"/>
      <c r="X109" s="64"/>
      <c r="Y109" s="64"/>
      <c r="Z109" s="64"/>
      <c r="AA109" s="66"/>
      <c r="AB109" s="65"/>
      <c r="AC109" s="64"/>
      <c r="AD109" s="64"/>
      <c r="AE109" s="64"/>
      <c r="AF109" s="66"/>
      <c r="AG109" s="65"/>
      <c r="AH109" s="64"/>
      <c r="AI109" s="64"/>
      <c r="AJ109" s="66"/>
      <c r="AK109" s="65"/>
      <c r="AL109" s="64"/>
      <c r="AM109" s="64"/>
      <c r="AN109" s="66"/>
      <c r="AO109" s="65"/>
      <c r="AP109" s="64"/>
      <c r="AQ109" s="64"/>
      <c r="AR109" s="64"/>
      <c r="AS109" s="83"/>
      <c r="AT109" s="63"/>
      <c r="AU109" s="63"/>
      <c r="AV109" s="63"/>
      <c r="AW109" s="63"/>
      <c r="AX109" s="63"/>
    </row>
    <row r="110" spans="1:50" ht="16">
      <c r="A110" s="85">
        <v>96</v>
      </c>
      <c r="B110" s="64"/>
      <c r="C110" s="64"/>
      <c r="D110" s="64"/>
      <c r="E110" s="72"/>
      <c r="F110" s="72"/>
      <c r="G110" s="71">
        <f t="shared" si="2"/>
        <v>0</v>
      </c>
      <c r="H110" s="70"/>
      <c r="I110" s="64"/>
      <c r="J110" s="64"/>
      <c r="K110" s="69"/>
      <c r="L110" s="64"/>
      <c r="M110" s="68">
        <f t="shared" si="3"/>
        <v>0</v>
      </c>
      <c r="N110" s="64"/>
      <c r="O110" s="64"/>
      <c r="P110" s="64"/>
      <c r="Q110" s="66"/>
      <c r="R110" s="65"/>
      <c r="S110" s="64"/>
      <c r="T110" s="64"/>
      <c r="U110" s="64"/>
      <c r="V110" s="66"/>
      <c r="W110" s="65"/>
      <c r="X110" s="64"/>
      <c r="Y110" s="64"/>
      <c r="Z110" s="64"/>
      <c r="AA110" s="66"/>
      <c r="AB110" s="65"/>
      <c r="AC110" s="64"/>
      <c r="AD110" s="64"/>
      <c r="AE110" s="64"/>
      <c r="AF110" s="66"/>
      <c r="AG110" s="65"/>
      <c r="AH110" s="64"/>
      <c r="AI110" s="64"/>
      <c r="AJ110" s="66"/>
      <c r="AK110" s="65"/>
      <c r="AL110" s="64"/>
      <c r="AM110" s="64"/>
      <c r="AN110" s="66"/>
      <c r="AO110" s="65"/>
      <c r="AP110" s="64"/>
      <c r="AQ110" s="64"/>
      <c r="AR110" s="64"/>
      <c r="AS110" s="83"/>
      <c r="AT110" s="63"/>
      <c r="AU110" s="63"/>
      <c r="AV110" s="63"/>
      <c r="AW110" s="63"/>
      <c r="AX110" s="63"/>
    </row>
    <row r="111" spans="1:50" ht="16">
      <c r="A111" s="85">
        <v>97</v>
      </c>
      <c r="B111" s="64"/>
      <c r="C111" s="64"/>
      <c r="D111" s="64"/>
      <c r="E111" s="72"/>
      <c r="F111" s="72"/>
      <c r="G111" s="71">
        <f t="shared" si="2"/>
        <v>0</v>
      </c>
      <c r="H111" s="70"/>
      <c r="I111" s="64"/>
      <c r="J111" s="64"/>
      <c r="K111" s="69"/>
      <c r="L111" s="64"/>
      <c r="M111" s="68">
        <f t="shared" si="3"/>
        <v>0</v>
      </c>
      <c r="N111" s="64"/>
      <c r="O111" s="64"/>
      <c r="P111" s="64"/>
      <c r="Q111" s="66"/>
      <c r="R111" s="65"/>
      <c r="S111" s="64"/>
      <c r="T111" s="64"/>
      <c r="U111" s="64"/>
      <c r="V111" s="66"/>
      <c r="W111" s="65"/>
      <c r="X111" s="64"/>
      <c r="Y111" s="64"/>
      <c r="Z111" s="64"/>
      <c r="AA111" s="66"/>
      <c r="AB111" s="65"/>
      <c r="AC111" s="64"/>
      <c r="AD111" s="64"/>
      <c r="AE111" s="64"/>
      <c r="AF111" s="66"/>
      <c r="AG111" s="65"/>
      <c r="AH111" s="64"/>
      <c r="AI111" s="64"/>
      <c r="AJ111" s="66"/>
      <c r="AK111" s="65"/>
      <c r="AL111" s="64"/>
      <c r="AM111" s="64"/>
      <c r="AN111" s="66"/>
      <c r="AO111" s="65"/>
      <c r="AP111" s="64"/>
      <c r="AQ111" s="64"/>
      <c r="AR111" s="64"/>
      <c r="AS111" s="83"/>
      <c r="AT111" s="63"/>
      <c r="AU111" s="63"/>
      <c r="AV111" s="63"/>
      <c r="AW111" s="63"/>
      <c r="AX111" s="63"/>
    </row>
    <row r="112" spans="1:50" ht="16">
      <c r="A112" s="85">
        <v>98</v>
      </c>
      <c r="B112" s="64"/>
      <c r="C112" s="64"/>
      <c r="D112" s="64"/>
      <c r="E112" s="72"/>
      <c r="F112" s="72"/>
      <c r="G112" s="71">
        <f t="shared" si="2"/>
        <v>0</v>
      </c>
      <c r="H112" s="70"/>
      <c r="I112" s="64"/>
      <c r="J112" s="64"/>
      <c r="K112" s="69"/>
      <c r="L112" s="64"/>
      <c r="M112" s="68">
        <f t="shared" si="3"/>
        <v>0</v>
      </c>
      <c r="N112" s="64"/>
      <c r="O112" s="64"/>
      <c r="P112" s="64"/>
      <c r="Q112" s="66"/>
      <c r="R112" s="65"/>
      <c r="S112" s="64"/>
      <c r="T112" s="64"/>
      <c r="U112" s="64"/>
      <c r="V112" s="66"/>
      <c r="W112" s="65"/>
      <c r="X112" s="64"/>
      <c r="Y112" s="64"/>
      <c r="Z112" s="64"/>
      <c r="AA112" s="66"/>
      <c r="AB112" s="65"/>
      <c r="AC112" s="64"/>
      <c r="AD112" s="64"/>
      <c r="AE112" s="64"/>
      <c r="AF112" s="66"/>
      <c r="AG112" s="65"/>
      <c r="AH112" s="64"/>
      <c r="AI112" s="64"/>
      <c r="AJ112" s="66"/>
      <c r="AK112" s="65"/>
      <c r="AL112" s="64"/>
      <c r="AM112" s="64"/>
      <c r="AN112" s="66"/>
      <c r="AO112" s="65"/>
      <c r="AP112" s="64"/>
      <c r="AQ112" s="64"/>
      <c r="AR112" s="64"/>
      <c r="AS112" s="83"/>
      <c r="AT112" s="63"/>
      <c r="AU112" s="63"/>
      <c r="AV112" s="63"/>
      <c r="AW112" s="63"/>
      <c r="AX112" s="63"/>
    </row>
    <row r="113" spans="1:50" ht="16">
      <c r="A113" s="85">
        <v>99</v>
      </c>
      <c r="B113" s="64"/>
      <c r="C113" s="64"/>
      <c r="D113" s="64"/>
      <c r="E113" s="72"/>
      <c r="F113" s="72"/>
      <c r="G113" s="71">
        <f t="shared" si="2"/>
        <v>0</v>
      </c>
      <c r="H113" s="70"/>
      <c r="I113" s="64"/>
      <c r="J113" s="64"/>
      <c r="K113" s="69"/>
      <c r="L113" s="64"/>
      <c r="M113" s="68">
        <f t="shared" si="3"/>
        <v>0</v>
      </c>
      <c r="N113" s="64"/>
      <c r="O113" s="64"/>
      <c r="P113" s="64"/>
      <c r="Q113" s="66"/>
      <c r="R113" s="65"/>
      <c r="S113" s="64"/>
      <c r="T113" s="64"/>
      <c r="U113" s="64"/>
      <c r="V113" s="66"/>
      <c r="W113" s="65"/>
      <c r="X113" s="64"/>
      <c r="Y113" s="64"/>
      <c r="Z113" s="64"/>
      <c r="AA113" s="66"/>
      <c r="AB113" s="65"/>
      <c r="AC113" s="64"/>
      <c r="AD113" s="64"/>
      <c r="AE113" s="64"/>
      <c r="AF113" s="66"/>
      <c r="AG113" s="65"/>
      <c r="AH113" s="64"/>
      <c r="AI113" s="64"/>
      <c r="AJ113" s="66"/>
      <c r="AK113" s="65"/>
      <c r="AL113" s="64"/>
      <c r="AM113" s="64"/>
      <c r="AN113" s="66"/>
      <c r="AO113" s="65"/>
      <c r="AP113" s="64"/>
      <c r="AQ113" s="64"/>
      <c r="AR113" s="64"/>
      <c r="AS113" s="83"/>
      <c r="AT113" s="63"/>
      <c r="AU113" s="63"/>
      <c r="AV113" s="63"/>
      <c r="AW113" s="63"/>
      <c r="AX113" s="63"/>
    </row>
    <row r="114" spans="1:50" ht="16.5" thickBot="1">
      <c r="A114" s="85">
        <v>100</v>
      </c>
      <c r="B114" s="64"/>
      <c r="C114" s="64"/>
      <c r="D114" s="64"/>
      <c r="E114" s="72"/>
      <c r="F114" s="72"/>
      <c r="G114" s="71">
        <f t="shared" si="2"/>
        <v>0</v>
      </c>
      <c r="H114" s="70"/>
      <c r="I114" s="64"/>
      <c r="J114" s="64"/>
      <c r="K114" s="69"/>
      <c r="L114" s="64"/>
      <c r="M114" s="68">
        <f t="shared" si="3"/>
        <v>0</v>
      </c>
      <c r="N114" s="64"/>
      <c r="O114" s="64"/>
      <c r="P114" s="64"/>
      <c r="Q114" s="66"/>
      <c r="R114" s="65"/>
      <c r="S114" s="64"/>
      <c r="T114" s="64"/>
      <c r="U114" s="64"/>
      <c r="V114" s="66"/>
      <c r="W114" s="65"/>
      <c r="X114" s="64"/>
      <c r="Y114" s="64"/>
      <c r="Z114" s="64"/>
      <c r="AA114" s="66"/>
      <c r="AB114" s="65"/>
      <c r="AC114" s="64"/>
      <c r="AD114" s="64"/>
      <c r="AE114" s="64"/>
      <c r="AF114" s="66"/>
      <c r="AG114" s="65"/>
      <c r="AH114" s="64"/>
      <c r="AI114" s="64"/>
      <c r="AJ114" s="67"/>
      <c r="AK114" s="65"/>
      <c r="AL114" s="64"/>
      <c r="AM114" s="64"/>
      <c r="AN114" s="66"/>
      <c r="AO114" s="65"/>
      <c r="AP114" s="64"/>
      <c r="AQ114" s="64"/>
      <c r="AR114" s="64"/>
      <c r="AS114" s="83"/>
      <c r="AT114" s="63"/>
      <c r="AU114" s="63"/>
      <c r="AV114" s="63"/>
      <c r="AW114" s="63"/>
      <c r="AX114" s="63"/>
    </row>
    <row r="115" spans="1:50" ht="12" thickTop="1"/>
  </sheetData>
  <mergeCells count="9">
    <mergeCell ref="AT11:AX12"/>
    <mergeCell ref="AG13:AP13"/>
    <mergeCell ref="AT13:AX13"/>
    <mergeCell ref="C5:E5"/>
    <mergeCell ref="C6:E6"/>
    <mergeCell ref="C7:E7"/>
    <mergeCell ref="C8:E8"/>
    <mergeCell ref="C9:E9"/>
    <mergeCell ref="AG11:AP12"/>
  </mergeCells>
  <printOptions horizontalCentered="1"/>
  <pageMargins left="0.5" right="0.5" top="0.5" bottom="0.75" header="0.15" footer="0.5"/>
  <pageSetup scale="20" fitToHeight="0" orientation="landscape" r:id="rId1"/>
  <headerFooter scaleWithDoc="0" alignWithMargins="0">
    <oddFooter>&amp;CPage &amp;P of &amp;N&amp;RLockton Companies</oddFoot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FAE-39E7-4C15-80A7-71E94FD3F32B}">
  <sheetPr codeName="Sheet15">
    <tabColor theme="4" tint="0.79998168889431442"/>
  </sheetPr>
  <dimension ref="C3:E11"/>
  <sheetViews>
    <sheetView showGridLines="0" workbookViewId="0"/>
  </sheetViews>
  <sheetFormatPr defaultColWidth="8.58203125" defaultRowHeight="14.5"/>
  <cols>
    <col min="1" max="2" width="2.33203125" style="86" customWidth="1"/>
    <col min="3" max="3" width="9.75" style="86" bestFit="1" customWidth="1"/>
    <col min="4" max="4" width="14.58203125" style="86" bestFit="1" customWidth="1"/>
    <col min="5" max="5" width="15.33203125" style="86" bestFit="1" customWidth="1"/>
    <col min="6" max="6" width="2.33203125" style="86" customWidth="1"/>
    <col min="7" max="16384" width="8.58203125" style="86"/>
  </cols>
  <sheetData>
    <row r="3" spans="3:5">
      <c r="C3" s="87" t="s">
        <v>1081</v>
      </c>
      <c r="D3" s="88"/>
      <c r="E3" s="88"/>
    </row>
    <row r="4" spans="3:5">
      <c r="C4" s="88"/>
      <c r="D4" s="88"/>
      <c r="E4" s="88"/>
    </row>
    <row r="5" spans="3:5">
      <c r="C5" s="89" t="s">
        <v>1082</v>
      </c>
      <c r="D5" s="100" t="s">
        <v>1083</v>
      </c>
      <c r="E5" s="90" t="s">
        <v>1084</v>
      </c>
    </row>
    <row r="6" spans="3:5">
      <c r="C6" s="88" t="s">
        <v>1085</v>
      </c>
      <c r="D6" s="101" t="s">
        <v>1086</v>
      </c>
      <c r="E6" s="92"/>
    </row>
    <row r="7" spans="3:5">
      <c r="C7" s="88" t="s">
        <v>1087</v>
      </c>
      <c r="D7" s="91" t="s">
        <v>1086</v>
      </c>
      <c r="E7" s="92"/>
    </row>
    <row r="8" spans="3:5">
      <c r="C8" s="88" t="s">
        <v>1088</v>
      </c>
      <c r="D8" s="91" t="s">
        <v>1086</v>
      </c>
      <c r="E8" s="92"/>
    </row>
    <row r="9" spans="3:5">
      <c r="C9" s="88" t="s">
        <v>1089</v>
      </c>
      <c r="D9" s="93">
        <v>8.5641898045007583</v>
      </c>
      <c r="E9" s="92"/>
    </row>
    <row r="10" spans="3:5">
      <c r="C10" s="94" t="s">
        <v>1090</v>
      </c>
      <c r="D10" s="95">
        <v>8.5203391724549995</v>
      </c>
      <c r="E10" s="96"/>
    </row>
    <row r="11" spans="3:5">
      <c r="C11" s="97" t="s">
        <v>11</v>
      </c>
      <c r="D11" s="98">
        <v>89.171437152203694</v>
      </c>
      <c r="E11" s="99"/>
    </row>
  </sheetData>
  <conditionalFormatting sqref="C6:E10">
    <cfRule type="expression" dxfId="2" priority="1">
      <formula>MOD(ROW(),2)=0</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E939-604D-4BEF-AEFF-FDD77516FC0C}">
  <sheetPr codeName="Sheet16">
    <tabColor theme="4" tint="0.79998168889431442"/>
    <pageSetUpPr fitToPage="1"/>
  </sheetPr>
  <dimension ref="A1:G46"/>
  <sheetViews>
    <sheetView showGridLines="0" zoomScale="82" zoomScaleNormal="100" workbookViewId="0">
      <pane xSplit="1" ySplit="4" topLeftCell="B5" activePane="bottomRight" state="frozen"/>
      <selection pane="topRight"/>
      <selection pane="bottomLeft"/>
      <selection pane="bottomRight"/>
    </sheetView>
  </sheetViews>
  <sheetFormatPr defaultColWidth="8.5" defaultRowHeight="11.5"/>
  <cols>
    <col min="1" max="1" width="2" style="103" customWidth="1"/>
    <col min="2" max="2" width="3.5" style="103" bestFit="1" customWidth="1"/>
    <col min="3" max="3" width="33.58203125" style="103" bestFit="1" customWidth="1"/>
    <col min="4" max="4" width="42" style="103" bestFit="1" customWidth="1"/>
    <col min="5" max="5" width="25.25" style="103" bestFit="1" customWidth="1"/>
    <col min="6" max="6" width="38.5" style="103" bestFit="1" customWidth="1"/>
    <col min="7" max="7" width="21.58203125" style="103" bestFit="1" customWidth="1"/>
    <col min="8" max="8" width="2.75" style="103" customWidth="1"/>
    <col min="9" max="16384" width="8.5" style="103"/>
  </cols>
  <sheetData>
    <row r="1" spans="1:7" ht="21">
      <c r="A1" s="102" t="s">
        <v>1023</v>
      </c>
    </row>
    <row r="2" spans="1:7" ht="21">
      <c r="A2" s="102"/>
    </row>
    <row r="3" spans="1:7" ht="18">
      <c r="B3" s="104" t="s">
        <v>1091</v>
      </c>
    </row>
    <row r="5" spans="1:7">
      <c r="A5" s="105"/>
      <c r="B5" s="106"/>
      <c r="C5" s="107"/>
      <c r="D5" s="106"/>
      <c r="E5" s="107"/>
    </row>
    <row r="6" spans="1:7" ht="27" customHeight="1">
      <c r="A6" s="108"/>
      <c r="B6" s="252" t="s">
        <v>1092</v>
      </c>
      <c r="C6" s="253"/>
      <c r="D6" s="253"/>
      <c r="E6" s="253"/>
      <c r="F6" s="253"/>
      <c r="G6" s="254"/>
    </row>
    <row r="7" spans="1:7" ht="27" customHeight="1">
      <c r="A7" s="108"/>
      <c r="B7" s="109" t="s">
        <v>1093</v>
      </c>
      <c r="C7" s="109" t="s">
        <v>1094</v>
      </c>
      <c r="D7" s="109" t="s">
        <v>1095</v>
      </c>
      <c r="E7" s="109" t="s">
        <v>1096</v>
      </c>
      <c r="F7" s="109" t="s">
        <v>1097</v>
      </c>
      <c r="G7" s="109" t="s">
        <v>1098</v>
      </c>
    </row>
    <row r="8" spans="1:7">
      <c r="A8" s="110"/>
      <c r="B8" s="176">
        <v>1</v>
      </c>
      <c r="C8" s="177" t="s">
        <v>1099</v>
      </c>
      <c r="D8" s="177" t="s">
        <v>1100</v>
      </c>
      <c r="E8" s="177" t="s">
        <v>1101</v>
      </c>
      <c r="F8" s="178">
        <v>107</v>
      </c>
      <c r="G8" s="179" t="s">
        <v>1102</v>
      </c>
    </row>
    <row r="9" spans="1:7">
      <c r="A9" s="110"/>
      <c r="B9" s="176">
        <v>2</v>
      </c>
      <c r="C9" s="177" t="s">
        <v>1103</v>
      </c>
      <c r="D9" s="177" t="s">
        <v>1104</v>
      </c>
      <c r="E9" s="177"/>
      <c r="F9" s="178" t="s">
        <v>1105</v>
      </c>
      <c r="G9" s="179" t="s">
        <v>1106</v>
      </c>
    </row>
    <row r="10" spans="1:7">
      <c r="A10" s="110"/>
      <c r="B10" s="176">
        <v>3</v>
      </c>
      <c r="C10" s="177" t="s">
        <v>1107</v>
      </c>
      <c r="D10" s="177" t="s">
        <v>1108</v>
      </c>
      <c r="E10" s="177"/>
      <c r="F10" s="178" t="s">
        <v>1106</v>
      </c>
      <c r="G10" s="179" t="s">
        <v>1106</v>
      </c>
    </row>
    <row r="11" spans="1:7">
      <c r="A11" s="110"/>
      <c r="B11" s="176">
        <v>4</v>
      </c>
      <c r="C11" s="177" t="s">
        <v>1109</v>
      </c>
      <c r="D11" s="177" t="s">
        <v>1110</v>
      </c>
      <c r="E11" s="177" t="s">
        <v>1101</v>
      </c>
      <c r="F11" s="178" t="s">
        <v>1111</v>
      </c>
      <c r="G11" s="180" t="s">
        <v>1112</v>
      </c>
    </row>
    <row r="12" spans="1:7">
      <c r="A12" s="110"/>
      <c r="B12" s="176">
        <v>5</v>
      </c>
      <c r="C12" s="177" t="s">
        <v>1113</v>
      </c>
      <c r="D12" s="177" t="s">
        <v>1114</v>
      </c>
      <c r="E12" s="177" t="s">
        <v>1101</v>
      </c>
      <c r="F12" s="178" t="s">
        <v>1105</v>
      </c>
      <c r="G12" s="179" t="s">
        <v>1115</v>
      </c>
    </row>
    <row r="13" spans="1:7">
      <c r="A13" s="110"/>
      <c r="B13" s="176">
        <v>6</v>
      </c>
      <c r="C13" s="177" t="s">
        <v>1116</v>
      </c>
      <c r="D13" s="177" t="s">
        <v>1117</v>
      </c>
      <c r="E13" s="177" t="s">
        <v>1101</v>
      </c>
      <c r="F13" s="178" t="s">
        <v>1106</v>
      </c>
      <c r="G13" s="179" t="s">
        <v>1118</v>
      </c>
    </row>
    <row r="14" spans="1:7">
      <c r="A14" s="110"/>
      <c r="B14" s="176">
        <v>7</v>
      </c>
      <c r="C14" s="177" t="s">
        <v>1119</v>
      </c>
      <c r="D14" s="177" t="s">
        <v>1120</v>
      </c>
      <c r="E14" s="177" t="s">
        <v>1101</v>
      </c>
      <c r="F14" s="178" t="s">
        <v>1106</v>
      </c>
      <c r="G14" s="179" t="s">
        <v>1121</v>
      </c>
    </row>
    <row r="15" spans="1:7">
      <c r="A15" s="110"/>
      <c r="B15" s="176">
        <v>8</v>
      </c>
      <c r="C15" s="177" t="s">
        <v>1122</v>
      </c>
      <c r="D15" s="177" t="s">
        <v>1123</v>
      </c>
      <c r="E15" s="177" t="s">
        <v>1124</v>
      </c>
      <c r="F15" s="178" t="s">
        <v>1106</v>
      </c>
      <c r="G15" s="179" t="s">
        <v>1106</v>
      </c>
    </row>
    <row r="16" spans="1:7">
      <c r="A16" s="110"/>
      <c r="B16" s="176">
        <v>9</v>
      </c>
      <c r="C16" s="177" t="s">
        <v>1125</v>
      </c>
      <c r="D16" s="177" t="s">
        <v>1126</v>
      </c>
      <c r="E16" s="177"/>
      <c r="F16" s="178" t="s">
        <v>1106</v>
      </c>
      <c r="G16" s="179" t="s">
        <v>1106</v>
      </c>
    </row>
    <row r="17" spans="1:7">
      <c r="A17" s="110"/>
      <c r="B17" s="176">
        <v>10</v>
      </c>
      <c r="C17" s="177" t="s">
        <v>1127</v>
      </c>
      <c r="D17" s="177" t="s">
        <v>1128</v>
      </c>
      <c r="E17" s="177"/>
      <c r="F17" s="178" t="s">
        <v>1106</v>
      </c>
      <c r="G17" s="179" t="s">
        <v>1106</v>
      </c>
    </row>
    <row r="18" spans="1:7">
      <c r="A18" s="110"/>
      <c r="B18" s="176">
        <v>11</v>
      </c>
      <c r="C18" s="177" t="s">
        <v>1129</v>
      </c>
      <c r="D18" s="177" t="s">
        <v>1130</v>
      </c>
      <c r="E18" s="177"/>
      <c r="F18" s="178" t="s">
        <v>1106</v>
      </c>
      <c r="G18" s="179" t="s">
        <v>1106</v>
      </c>
    </row>
    <row r="19" spans="1:7">
      <c r="A19" s="110"/>
      <c r="B19" s="176">
        <v>12</v>
      </c>
      <c r="C19" s="177" t="s">
        <v>1131</v>
      </c>
      <c r="D19" s="177" t="s">
        <v>1132</v>
      </c>
      <c r="E19" s="177" t="s">
        <v>1101</v>
      </c>
      <c r="F19" s="178" t="s">
        <v>1106</v>
      </c>
      <c r="G19" s="179" t="s">
        <v>1133</v>
      </c>
    </row>
    <row r="20" spans="1:7" ht="12" thickBot="1">
      <c r="A20" s="110"/>
      <c r="B20" s="181">
        <v>13</v>
      </c>
      <c r="C20" s="182" t="s">
        <v>1134</v>
      </c>
      <c r="D20" s="182" t="s">
        <v>1135</v>
      </c>
      <c r="E20" s="182" t="s">
        <v>1101</v>
      </c>
      <c r="F20" s="183" t="s">
        <v>1106</v>
      </c>
      <c r="G20" s="184" t="s">
        <v>1136</v>
      </c>
    </row>
    <row r="21" spans="1:7">
      <c r="A21" s="110"/>
    </row>
    <row r="22" spans="1:7" ht="27" customHeight="1">
      <c r="A22" s="110"/>
      <c r="B22" s="252" t="s">
        <v>1137</v>
      </c>
      <c r="C22" s="253"/>
      <c r="D22" s="253"/>
      <c r="E22" s="253"/>
      <c r="F22" s="253"/>
      <c r="G22" s="254"/>
    </row>
    <row r="23" spans="1:7" ht="27" customHeight="1">
      <c r="A23" s="110"/>
      <c r="B23" s="109" t="s">
        <v>1093</v>
      </c>
      <c r="C23" s="109" t="s">
        <v>1094</v>
      </c>
      <c r="D23" s="109" t="s">
        <v>1095</v>
      </c>
      <c r="E23" s="109" t="s">
        <v>1096</v>
      </c>
      <c r="F23" s="109" t="s">
        <v>1097</v>
      </c>
      <c r="G23" s="109" t="s">
        <v>1098</v>
      </c>
    </row>
    <row r="24" spans="1:7">
      <c r="A24" s="110"/>
      <c r="B24" s="111">
        <v>1</v>
      </c>
      <c r="C24" s="148" t="s">
        <v>1138</v>
      </c>
      <c r="D24" s="185" t="s">
        <v>1139</v>
      </c>
      <c r="E24" s="186" t="s">
        <v>160</v>
      </c>
      <c r="F24" s="187" t="s">
        <v>1140</v>
      </c>
      <c r="G24" s="188" t="s">
        <v>1141</v>
      </c>
    </row>
    <row r="25" spans="1:7">
      <c r="A25" s="110"/>
      <c r="B25" s="111">
        <f>B24+1</f>
        <v>2</v>
      </c>
      <c r="C25" s="148" t="s">
        <v>1142</v>
      </c>
      <c r="D25" s="185" t="s">
        <v>1143</v>
      </c>
      <c r="E25" s="189" t="s">
        <v>160</v>
      </c>
      <c r="F25" s="190">
        <v>200</v>
      </c>
      <c r="G25" s="191" t="s">
        <v>1144</v>
      </c>
    </row>
    <row r="26" spans="1:7">
      <c r="A26" s="110"/>
      <c r="B26" s="112">
        <v>3</v>
      </c>
      <c r="C26" s="148" t="s">
        <v>1145</v>
      </c>
      <c r="D26" s="185" t="s">
        <v>1143</v>
      </c>
      <c r="E26" s="189" t="s">
        <v>160</v>
      </c>
      <c r="F26" s="190">
        <v>200</v>
      </c>
      <c r="G26" s="191" t="s">
        <v>1144</v>
      </c>
    </row>
    <row r="27" spans="1:7">
      <c r="A27" s="110"/>
      <c r="B27" s="112">
        <v>4</v>
      </c>
      <c r="C27" s="148" t="s">
        <v>1146</v>
      </c>
      <c r="D27" s="185" t="s">
        <v>1147</v>
      </c>
      <c r="E27" s="189" t="s">
        <v>160</v>
      </c>
      <c r="F27" s="190">
        <v>25</v>
      </c>
      <c r="G27" s="191" t="s">
        <v>1148</v>
      </c>
    </row>
    <row r="28" spans="1:7">
      <c r="A28" s="110"/>
      <c r="B28" s="112">
        <v>5</v>
      </c>
      <c r="C28" s="148" t="s">
        <v>1149</v>
      </c>
      <c r="D28" s="185" t="s">
        <v>1147</v>
      </c>
      <c r="E28" s="189" t="s">
        <v>160</v>
      </c>
      <c r="F28" s="190">
        <v>25</v>
      </c>
      <c r="G28" s="191" t="s">
        <v>1148</v>
      </c>
    </row>
    <row r="29" spans="1:7">
      <c r="A29" s="110"/>
      <c r="B29" s="112">
        <v>6</v>
      </c>
      <c r="C29" s="148" t="s">
        <v>1150</v>
      </c>
      <c r="D29" s="185" t="s">
        <v>1139</v>
      </c>
      <c r="E29" s="189" t="s">
        <v>160</v>
      </c>
      <c r="F29" s="190">
        <v>200</v>
      </c>
      <c r="G29" s="191" t="s">
        <v>1141</v>
      </c>
    </row>
    <row r="30" spans="1:7" ht="12" thickBot="1">
      <c r="A30" s="110"/>
      <c r="B30" s="113">
        <v>7</v>
      </c>
      <c r="C30" s="174" t="s">
        <v>1151</v>
      </c>
      <c r="D30" s="192" t="s">
        <v>1152</v>
      </c>
      <c r="E30" s="193" t="s">
        <v>160</v>
      </c>
      <c r="F30" s="194">
        <v>25</v>
      </c>
      <c r="G30" s="195" t="s">
        <v>1144</v>
      </c>
    </row>
    <row r="31" spans="1:7">
      <c r="A31" s="110"/>
      <c r="B31" s="114"/>
      <c r="C31" s="115"/>
      <c r="D31" s="116"/>
      <c r="E31" s="107"/>
      <c r="F31" s="107"/>
      <c r="G31" s="107"/>
    </row>
    <row r="32" spans="1:7">
      <c r="A32" s="110"/>
    </row>
    <row r="33" spans="1:6" ht="23.15" customHeight="1">
      <c r="A33" s="110"/>
      <c r="B33" s="255" t="s">
        <v>1153</v>
      </c>
      <c r="C33" s="256"/>
      <c r="D33" s="256"/>
      <c r="E33" s="256"/>
      <c r="F33" s="257"/>
    </row>
    <row r="34" spans="1:6" ht="27" customHeight="1">
      <c r="A34" s="110"/>
      <c r="B34" s="109" t="s">
        <v>1093</v>
      </c>
      <c r="C34" s="109" t="s">
        <v>1154</v>
      </c>
      <c r="D34" s="109" t="s">
        <v>1155</v>
      </c>
      <c r="E34" s="109" t="s">
        <v>1096</v>
      </c>
      <c r="F34" s="109" t="s">
        <v>1156</v>
      </c>
    </row>
    <row r="35" spans="1:6">
      <c r="A35" s="110"/>
      <c r="B35" s="196">
        <v>1</v>
      </c>
      <c r="C35" s="148" t="s">
        <v>1157</v>
      </c>
      <c r="D35" s="185" t="s">
        <v>1158</v>
      </c>
      <c r="E35" s="197" t="s">
        <v>1159</v>
      </c>
      <c r="F35" s="186" t="s">
        <v>1160</v>
      </c>
    </row>
    <row r="36" spans="1:6" ht="23">
      <c r="A36" s="110"/>
      <c r="B36" s="196">
        <v>2</v>
      </c>
      <c r="C36" s="148" t="s">
        <v>1161</v>
      </c>
      <c r="D36" s="185" t="s">
        <v>1162</v>
      </c>
      <c r="E36" s="198" t="s">
        <v>1163</v>
      </c>
      <c r="F36" s="189" t="s">
        <v>1160</v>
      </c>
    </row>
    <row r="37" spans="1:6">
      <c r="A37" s="110"/>
      <c r="B37" s="196">
        <v>3</v>
      </c>
      <c r="C37" s="148" t="s">
        <v>1164</v>
      </c>
      <c r="D37" s="185" t="s">
        <v>1165</v>
      </c>
      <c r="E37" s="185" t="s">
        <v>1106</v>
      </c>
      <c r="F37" s="185" t="s">
        <v>1160</v>
      </c>
    </row>
    <row r="38" spans="1:6">
      <c r="A38" s="110"/>
      <c r="B38" s="196">
        <v>4</v>
      </c>
      <c r="C38" s="148" t="s">
        <v>1166</v>
      </c>
      <c r="D38" s="185" t="s">
        <v>1167</v>
      </c>
      <c r="E38" s="185" t="s">
        <v>1106</v>
      </c>
      <c r="F38" s="185" t="s">
        <v>1168</v>
      </c>
    </row>
    <row r="39" spans="1:6">
      <c r="A39" s="110"/>
      <c r="B39" s="196">
        <v>5</v>
      </c>
      <c r="C39" s="148" t="s">
        <v>1169</v>
      </c>
      <c r="D39" s="185" t="s">
        <v>1170</v>
      </c>
      <c r="E39" s="185" t="s">
        <v>1171</v>
      </c>
      <c r="F39" s="185" t="s">
        <v>1172</v>
      </c>
    </row>
    <row r="40" spans="1:6">
      <c r="A40" s="110"/>
      <c r="B40" s="196">
        <v>6</v>
      </c>
      <c r="C40" s="148" t="s">
        <v>1173</v>
      </c>
      <c r="D40" s="185" t="s">
        <v>1174</v>
      </c>
      <c r="E40" s="185" t="s">
        <v>1106</v>
      </c>
      <c r="F40" s="185" t="s">
        <v>1175</v>
      </c>
    </row>
    <row r="41" spans="1:6">
      <c r="B41" s="196">
        <v>7</v>
      </c>
      <c r="C41" s="148" t="s">
        <v>1176</v>
      </c>
      <c r="D41" s="185" t="s">
        <v>1177</v>
      </c>
      <c r="E41" s="185" t="s">
        <v>1106</v>
      </c>
      <c r="F41" s="185" t="s">
        <v>1160</v>
      </c>
    </row>
    <row r="42" spans="1:6">
      <c r="B42" s="196">
        <v>8</v>
      </c>
      <c r="C42" s="148" t="s">
        <v>1178</v>
      </c>
      <c r="D42" s="185" t="s">
        <v>1179</v>
      </c>
      <c r="E42" s="185" t="s">
        <v>1106</v>
      </c>
      <c r="F42" s="185" t="s">
        <v>1180</v>
      </c>
    </row>
    <row r="43" spans="1:6" ht="14.5" customHeight="1">
      <c r="B43" s="196">
        <v>9</v>
      </c>
      <c r="C43" s="148" t="s">
        <v>1181</v>
      </c>
      <c r="D43" s="185" t="s">
        <v>1182</v>
      </c>
      <c r="E43" s="185" t="s">
        <v>1106</v>
      </c>
      <c r="F43" s="185" t="s">
        <v>1160</v>
      </c>
    </row>
    <row r="44" spans="1:6">
      <c r="B44" s="196">
        <v>10</v>
      </c>
      <c r="C44" s="148" t="s">
        <v>1183</v>
      </c>
      <c r="D44" s="185" t="s">
        <v>1184</v>
      </c>
      <c r="E44" s="185" t="s">
        <v>1185</v>
      </c>
      <c r="F44" s="185" t="s">
        <v>1186</v>
      </c>
    </row>
    <row r="45" spans="1:6" ht="14">
      <c r="B45" s="171">
        <v>11</v>
      </c>
      <c r="C45" s="172" t="s">
        <v>1187</v>
      </c>
      <c r="D45" s="185" t="s">
        <v>1188</v>
      </c>
      <c r="E45" s="185" t="s">
        <v>1106</v>
      </c>
      <c r="F45" s="185" t="s">
        <v>1160</v>
      </c>
    </row>
    <row r="46" spans="1:6">
      <c r="B46" s="106"/>
      <c r="C46" s="107"/>
      <c r="D46" s="106"/>
      <c r="E46" s="107"/>
    </row>
  </sheetData>
  <mergeCells count="3">
    <mergeCell ref="B6:G6"/>
    <mergeCell ref="B22:G22"/>
    <mergeCell ref="B33:F33"/>
  </mergeCells>
  <pageMargins left="0.7" right="0.7" top="0.75" bottom="0.75" header="0.3" footer="0.3"/>
  <pageSetup scale="50" orientation="portrait" horizontalDpi="360" verticalDpi="36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80ED-2780-4F37-AB86-453DADFA1D9B}">
  <sheetPr codeName="Sheet17">
    <tabColor theme="4" tint="0.79998168889431442"/>
    <pageSetUpPr fitToPage="1"/>
  </sheetPr>
  <dimension ref="A1:ES51"/>
  <sheetViews>
    <sheetView showGridLines="0" zoomScale="74" zoomScaleNormal="100" workbookViewId="0">
      <pane xSplit="1" ySplit="3" topLeftCell="B4" activePane="bottomRight" state="frozen"/>
      <selection pane="topRight"/>
      <selection pane="bottomLeft"/>
      <selection pane="bottomRight"/>
    </sheetView>
  </sheetViews>
  <sheetFormatPr defaultColWidth="9" defaultRowHeight="13"/>
  <cols>
    <col min="1" max="1" width="2.83203125" style="139" customWidth="1"/>
    <col min="2" max="2" width="4" style="145" customWidth="1"/>
    <col min="3" max="3" width="38.75" style="139" bestFit="1" customWidth="1"/>
    <col min="4" max="4" width="20.25" style="139" bestFit="1" customWidth="1"/>
    <col min="5" max="5" width="27.83203125" style="139" bestFit="1" customWidth="1"/>
    <col min="6" max="6" width="14.5" style="139" bestFit="1" customWidth="1"/>
    <col min="7" max="7" width="23.25" style="139" bestFit="1" customWidth="1"/>
    <col min="8" max="8" width="22.83203125" style="139" bestFit="1" customWidth="1"/>
    <col min="9" max="147" width="9" style="138"/>
    <col min="148" max="16384" width="9" style="139"/>
  </cols>
  <sheetData>
    <row r="1" spans="1:148" ht="21">
      <c r="A1" s="102" t="s">
        <v>1023</v>
      </c>
      <c r="B1" s="137"/>
      <c r="C1" s="137"/>
      <c r="D1" s="137"/>
      <c r="E1" s="137"/>
      <c r="F1" s="137"/>
      <c r="G1" s="137"/>
      <c r="H1" s="137"/>
    </row>
    <row r="2" spans="1:148" s="140" customFormat="1" ht="14.5"/>
    <row r="3" spans="1:148" s="103" customFormat="1" ht="18">
      <c r="B3" s="104" t="s">
        <v>1189</v>
      </c>
    </row>
    <row r="4" spans="1:148" s="103" customFormat="1" ht="18">
      <c r="B4" s="104"/>
    </row>
    <row r="5" spans="1:148">
      <c r="A5" s="141"/>
      <c r="B5" s="139"/>
    </row>
    <row r="6" spans="1:148" ht="13.4" customHeight="1">
      <c r="A6" s="141"/>
      <c r="B6" s="258" t="s">
        <v>1190</v>
      </c>
      <c r="C6" s="259"/>
      <c r="D6" s="259"/>
      <c r="E6" s="259"/>
      <c r="F6" s="259"/>
      <c r="G6" s="259"/>
      <c r="H6" s="150"/>
    </row>
    <row r="7" spans="1:148" ht="25">
      <c r="A7" s="141"/>
      <c r="B7" s="155" t="s">
        <v>1093</v>
      </c>
      <c r="C7" s="156" t="s">
        <v>1094</v>
      </c>
      <c r="D7" s="156" t="s">
        <v>1191</v>
      </c>
      <c r="E7" s="156" t="s">
        <v>1192</v>
      </c>
      <c r="F7" s="156" t="s">
        <v>1096</v>
      </c>
      <c r="G7" s="156" t="s">
        <v>1193</v>
      </c>
      <c r="H7" s="157" t="s">
        <v>1098</v>
      </c>
      <c r="ER7" s="138"/>
    </row>
    <row r="8" spans="1:148" s="144" customFormat="1">
      <c r="A8" s="142"/>
      <c r="B8" s="151">
        <v>1</v>
      </c>
      <c r="C8" s="158" t="s">
        <v>1194</v>
      </c>
      <c r="D8" s="158" t="s">
        <v>1106</v>
      </c>
      <c r="E8" s="158"/>
      <c r="F8" s="158"/>
      <c r="G8" s="158"/>
      <c r="H8" s="159"/>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c r="CY8" s="143"/>
      <c r="CZ8" s="143"/>
      <c r="DA8" s="143"/>
      <c r="DB8" s="143"/>
      <c r="DC8" s="143"/>
      <c r="DD8" s="143"/>
      <c r="DE8" s="143"/>
      <c r="DF8" s="143"/>
      <c r="DG8" s="143"/>
      <c r="DH8" s="143"/>
      <c r="DI8" s="143"/>
      <c r="DJ8" s="143"/>
      <c r="DK8" s="143"/>
      <c r="DL8" s="143"/>
      <c r="DM8" s="143"/>
      <c r="DN8" s="143"/>
      <c r="DO8" s="143"/>
      <c r="DP8" s="143"/>
      <c r="DQ8" s="143"/>
      <c r="DR8" s="143"/>
      <c r="DS8" s="143"/>
      <c r="DT8" s="143"/>
      <c r="DU8" s="143"/>
      <c r="DV8" s="143"/>
      <c r="DW8" s="143"/>
      <c r="DX8" s="143"/>
      <c r="DY8" s="143"/>
      <c r="DZ8" s="143"/>
      <c r="EA8" s="143"/>
      <c r="EB8" s="143"/>
      <c r="EC8" s="143"/>
      <c r="ED8" s="143"/>
      <c r="EE8" s="143"/>
      <c r="EF8" s="143"/>
      <c r="EG8" s="143"/>
      <c r="EH8" s="143"/>
      <c r="EI8" s="143"/>
      <c r="EJ8" s="143"/>
      <c r="EK8" s="143"/>
      <c r="EL8" s="143"/>
      <c r="EM8" s="143"/>
      <c r="EN8" s="143"/>
      <c r="EO8" s="143"/>
      <c r="EP8" s="143"/>
      <c r="EQ8" s="143"/>
      <c r="ER8" s="143"/>
    </row>
    <row r="9" spans="1:148" s="144" customFormat="1">
      <c r="A9" s="142"/>
      <c r="B9" s="151">
        <v>2</v>
      </c>
      <c r="C9" s="158" t="s">
        <v>1195</v>
      </c>
      <c r="D9" s="160" t="s">
        <v>1196</v>
      </c>
      <c r="E9" s="158" t="s">
        <v>1197</v>
      </c>
      <c r="F9" s="158" t="s">
        <v>1198</v>
      </c>
      <c r="G9" s="158">
        <v>7</v>
      </c>
      <c r="H9" s="159" t="s">
        <v>1199</v>
      </c>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row>
    <row r="10" spans="1:148" s="144" customFormat="1">
      <c r="A10" s="142"/>
      <c r="B10" s="151">
        <v>3</v>
      </c>
      <c r="C10" s="158" t="s">
        <v>1200</v>
      </c>
      <c r="D10" s="160" t="s">
        <v>1106</v>
      </c>
      <c r="E10" s="158"/>
      <c r="F10" s="158"/>
      <c r="G10" s="158"/>
      <c r="H10" s="159"/>
      <c r="I10" s="143"/>
      <c r="J10" s="143"/>
      <c r="K10" s="143"/>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c r="CY10" s="143"/>
      <c r="CZ10" s="143"/>
      <c r="DA10" s="143"/>
      <c r="DB10" s="143"/>
      <c r="DC10" s="143"/>
      <c r="DD10" s="143"/>
      <c r="DE10" s="143"/>
      <c r="DF10" s="143"/>
      <c r="DG10" s="143"/>
      <c r="DH10" s="143"/>
      <c r="DI10" s="143"/>
      <c r="DJ10" s="143"/>
      <c r="DK10" s="143"/>
      <c r="DL10" s="143"/>
      <c r="DM10" s="143"/>
      <c r="DN10" s="143"/>
      <c r="DO10" s="143"/>
      <c r="DP10" s="143"/>
      <c r="DQ10" s="143"/>
      <c r="DR10" s="143"/>
      <c r="DS10" s="143"/>
      <c r="DT10" s="143"/>
      <c r="DU10" s="143"/>
      <c r="DV10" s="143"/>
      <c r="DW10" s="143"/>
      <c r="DX10" s="143"/>
      <c r="DY10" s="143"/>
      <c r="DZ10" s="143"/>
      <c r="EA10" s="143"/>
      <c r="EB10" s="143"/>
      <c r="EC10" s="143"/>
      <c r="ED10" s="143"/>
      <c r="EE10" s="143"/>
      <c r="EF10" s="143"/>
      <c r="EG10" s="143"/>
      <c r="EH10" s="143"/>
      <c r="EI10" s="143"/>
      <c r="EJ10" s="143"/>
      <c r="EK10" s="143"/>
      <c r="EL10" s="143"/>
      <c r="EM10" s="143"/>
      <c r="EN10" s="143"/>
      <c r="EO10" s="143"/>
      <c r="EP10" s="143"/>
      <c r="EQ10" s="143"/>
      <c r="ER10" s="143"/>
    </row>
    <row r="11" spans="1:148" s="144" customFormat="1">
      <c r="A11" s="142"/>
      <c r="B11" s="151">
        <v>4</v>
      </c>
      <c r="C11" s="158" t="s">
        <v>1201</v>
      </c>
      <c r="D11" s="160" t="s">
        <v>1106</v>
      </c>
      <c r="E11" s="158"/>
      <c r="F11" s="158"/>
      <c r="G11" s="158"/>
      <c r="H11" s="159"/>
      <c r="I11" s="143"/>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row>
    <row r="12" spans="1:148" s="144" customFormat="1">
      <c r="A12" s="142"/>
      <c r="B12" s="151">
        <v>5</v>
      </c>
      <c r="C12" s="158" t="s">
        <v>1202</v>
      </c>
      <c r="D12" s="158" t="s">
        <v>1203</v>
      </c>
      <c r="E12" s="158" t="s">
        <v>1204</v>
      </c>
      <c r="F12" s="158" t="s">
        <v>1205</v>
      </c>
      <c r="G12" s="158">
        <v>242</v>
      </c>
      <c r="H12" s="159" t="s">
        <v>1206</v>
      </c>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c r="CY12" s="143"/>
      <c r="CZ12" s="143"/>
      <c r="DA12" s="143"/>
      <c r="DB12" s="143"/>
      <c r="DC12" s="143"/>
      <c r="DD12" s="143"/>
      <c r="DE12" s="143"/>
      <c r="DF12" s="143"/>
      <c r="DG12" s="143"/>
      <c r="DH12" s="143"/>
      <c r="DI12" s="143"/>
      <c r="DJ12" s="143"/>
      <c r="DK12" s="143"/>
      <c r="DL12" s="143"/>
      <c r="DM12" s="143"/>
      <c r="DN12" s="143"/>
      <c r="DO12" s="143"/>
      <c r="DP12" s="143"/>
      <c r="DQ12" s="143"/>
      <c r="DR12" s="143"/>
      <c r="DS12" s="143"/>
      <c r="DT12" s="143"/>
      <c r="DU12" s="143"/>
      <c r="DV12" s="143"/>
      <c r="DW12" s="143"/>
      <c r="DX12" s="143"/>
      <c r="DY12" s="143"/>
      <c r="DZ12" s="143"/>
      <c r="EA12" s="143"/>
      <c r="EB12" s="143"/>
      <c r="EC12" s="143"/>
      <c r="ED12" s="143"/>
      <c r="EE12" s="143"/>
      <c r="EF12" s="143"/>
      <c r="EG12" s="143"/>
      <c r="EH12" s="143"/>
      <c r="EI12" s="143"/>
      <c r="EJ12" s="143"/>
      <c r="EK12" s="143"/>
      <c r="EL12" s="143"/>
      <c r="EM12" s="143"/>
      <c r="EN12" s="143"/>
      <c r="EO12" s="143"/>
      <c r="EP12" s="143"/>
      <c r="EQ12" s="143"/>
      <c r="ER12" s="143"/>
    </row>
    <row r="13" spans="1:148" s="144" customFormat="1">
      <c r="A13" s="142"/>
      <c r="B13" s="151">
        <v>6</v>
      </c>
      <c r="C13" s="158" t="s">
        <v>1207</v>
      </c>
      <c r="D13" s="158" t="s">
        <v>1203</v>
      </c>
      <c r="E13" s="158" t="s">
        <v>1208</v>
      </c>
      <c r="F13" s="158" t="s">
        <v>1209</v>
      </c>
      <c r="G13" s="158" t="s">
        <v>1210</v>
      </c>
      <c r="H13" s="159" t="s">
        <v>1211</v>
      </c>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c r="CY13" s="143"/>
      <c r="CZ13" s="143"/>
      <c r="DA13" s="143"/>
      <c r="DB13" s="143"/>
      <c r="DC13" s="143"/>
      <c r="DD13" s="143"/>
      <c r="DE13" s="143"/>
      <c r="DF13" s="143"/>
      <c r="DG13" s="143"/>
      <c r="DH13" s="143"/>
      <c r="DI13" s="143"/>
      <c r="DJ13" s="143"/>
      <c r="DK13" s="143"/>
      <c r="DL13" s="143"/>
      <c r="DM13" s="143"/>
      <c r="DN13" s="143"/>
      <c r="DO13" s="143"/>
      <c r="DP13" s="143"/>
      <c r="DQ13" s="143"/>
      <c r="DR13" s="143"/>
      <c r="DS13" s="143"/>
      <c r="DT13" s="143"/>
      <c r="DU13" s="143"/>
      <c r="DV13" s="143"/>
      <c r="DW13" s="143"/>
      <c r="DX13" s="143"/>
      <c r="DY13" s="143"/>
      <c r="DZ13" s="143"/>
      <c r="EA13" s="143"/>
      <c r="EB13" s="143"/>
      <c r="EC13" s="143"/>
      <c r="ED13" s="143"/>
      <c r="EE13" s="143"/>
      <c r="EF13" s="143"/>
      <c r="EG13" s="143"/>
      <c r="EH13" s="143"/>
      <c r="EI13" s="143"/>
      <c r="EJ13" s="143"/>
      <c r="EK13" s="143"/>
      <c r="EL13" s="143"/>
      <c r="EM13" s="143"/>
      <c r="EN13" s="143"/>
      <c r="EO13" s="143"/>
      <c r="EP13" s="143"/>
      <c r="EQ13" s="143"/>
      <c r="ER13" s="143"/>
    </row>
    <row r="14" spans="1:148" s="144" customFormat="1">
      <c r="A14" s="142"/>
      <c r="B14" s="151">
        <v>7</v>
      </c>
      <c r="C14" s="158" t="s">
        <v>1212</v>
      </c>
      <c r="D14" s="158" t="s">
        <v>1213</v>
      </c>
      <c r="E14" s="158"/>
      <c r="F14" s="158"/>
      <c r="G14" s="158"/>
      <c r="H14" s="159"/>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row>
    <row r="15" spans="1:148" s="144" customFormat="1">
      <c r="A15" s="142"/>
      <c r="B15" s="151">
        <v>8</v>
      </c>
      <c r="C15" s="158" t="s">
        <v>1214</v>
      </c>
      <c r="D15" s="158" t="s">
        <v>1203</v>
      </c>
      <c r="E15" s="158" t="s">
        <v>1215</v>
      </c>
      <c r="F15" s="158" t="s">
        <v>1216</v>
      </c>
      <c r="G15" s="158" t="s">
        <v>1106</v>
      </c>
      <c r="H15" s="159" t="s">
        <v>1217</v>
      </c>
      <c r="I15" s="143"/>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c r="CY15" s="143"/>
      <c r="CZ15" s="143"/>
      <c r="DA15" s="143"/>
      <c r="DB15" s="143"/>
      <c r="DC15" s="143"/>
      <c r="DD15" s="143"/>
      <c r="DE15" s="143"/>
      <c r="DF15" s="143"/>
      <c r="DG15" s="143"/>
      <c r="DH15" s="143"/>
      <c r="DI15" s="143"/>
      <c r="DJ15" s="143"/>
      <c r="DK15" s="143"/>
      <c r="DL15" s="143"/>
      <c r="DM15" s="143"/>
      <c r="DN15" s="143"/>
      <c r="DO15" s="143"/>
      <c r="DP15" s="143"/>
      <c r="DQ15" s="143"/>
      <c r="DR15" s="143"/>
      <c r="DS15" s="143"/>
      <c r="DT15" s="143"/>
      <c r="DU15" s="143"/>
      <c r="DV15" s="143"/>
      <c r="DW15" s="143"/>
      <c r="DX15" s="143"/>
      <c r="DY15" s="143"/>
      <c r="DZ15" s="143"/>
      <c r="EA15" s="143"/>
      <c r="EB15" s="143"/>
      <c r="EC15" s="143"/>
      <c r="ED15" s="143"/>
      <c r="EE15" s="143"/>
      <c r="EF15" s="143"/>
      <c r="EG15" s="143"/>
      <c r="EH15" s="143"/>
      <c r="EI15" s="143"/>
      <c r="EJ15" s="143"/>
      <c r="EK15" s="143"/>
      <c r="EL15" s="143"/>
      <c r="EM15" s="143"/>
      <c r="EN15" s="143"/>
      <c r="EO15" s="143"/>
      <c r="EP15" s="143"/>
      <c r="EQ15" s="143"/>
      <c r="ER15" s="143"/>
    </row>
    <row r="16" spans="1:148" s="144" customFormat="1">
      <c r="A16" s="142"/>
      <c r="B16" s="151">
        <v>9</v>
      </c>
      <c r="C16" s="158" t="s">
        <v>1218</v>
      </c>
      <c r="D16" s="160" t="s">
        <v>1219</v>
      </c>
      <c r="E16" s="158"/>
      <c r="F16" s="158"/>
      <c r="G16" s="158"/>
      <c r="H16" s="161"/>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c r="CY16" s="143"/>
      <c r="CZ16" s="143"/>
      <c r="DA16" s="143"/>
      <c r="DB16" s="143"/>
      <c r="DC16" s="143"/>
      <c r="DD16" s="143"/>
      <c r="DE16" s="143"/>
      <c r="DF16" s="143"/>
      <c r="DG16" s="143"/>
      <c r="DH16" s="143"/>
      <c r="DI16" s="143"/>
      <c r="DJ16" s="143"/>
      <c r="DK16" s="143"/>
      <c r="DL16" s="143"/>
      <c r="DM16" s="143"/>
      <c r="DN16" s="143"/>
      <c r="DO16" s="143"/>
      <c r="DP16" s="143"/>
      <c r="DQ16" s="143"/>
      <c r="DR16" s="143"/>
      <c r="DS16" s="143"/>
      <c r="DT16" s="143"/>
      <c r="DU16" s="143"/>
      <c r="DV16" s="143"/>
      <c r="DW16" s="143"/>
      <c r="DX16" s="143"/>
      <c r="DY16" s="143"/>
      <c r="DZ16" s="143"/>
      <c r="EA16" s="143"/>
      <c r="EB16" s="143"/>
      <c r="EC16" s="143"/>
      <c r="ED16" s="143"/>
      <c r="EE16" s="143"/>
      <c r="EF16" s="143"/>
      <c r="EG16" s="143"/>
      <c r="EH16" s="143"/>
      <c r="EI16" s="143"/>
      <c r="EJ16" s="143"/>
      <c r="EK16" s="143"/>
      <c r="EL16" s="143"/>
      <c r="EM16" s="143"/>
      <c r="EN16" s="143"/>
      <c r="EO16" s="143"/>
      <c r="EP16" s="143"/>
      <c r="EQ16" s="143"/>
      <c r="ER16" s="143"/>
    </row>
    <row r="17" spans="1:149" s="144" customFormat="1">
      <c r="A17" s="142"/>
      <c r="B17" s="151">
        <v>10</v>
      </c>
      <c r="C17" s="158" t="s">
        <v>1220</v>
      </c>
      <c r="D17" s="160" t="s">
        <v>1106</v>
      </c>
      <c r="E17" s="158"/>
      <c r="F17" s="158"/>
      <c r="G17" s="158"/>
      <c r="H17" s="161"/>
      <c r="I17" s="143"/>
      <c r="J17" s="143"/>
      <c r="K17" s="143"/>
      <c r="L17" s="143"/>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C17" s="143"/>
      <c r="CD17" s="143"/>
      <c r="CE17" s="143"/>
      <c r="CF17" s="143"/>
      <c r="CG17" s="143"/>
      <c r="CH17" s="143"/>
      <c r="CI17" s="143"/>
      <c r="CJ17" s="143"/>
      <c r="CK17" s="143"/>
      <c r="CL17" s="143"/>
      <c r="CM17" s="143"/>
      <c r="CN17" s="143"/>
      <c r="CO17" s="143"/>
      <c r="CP17" s="143"/>
      <c r="CQ17" s="143"/>
      <c r="CR17" s="143"/>
      <c r="CS17" s="143"/>
      <c r="CT17" s="143"/>
      <c r="CU17" s="143"/>
      <c r="CV17" s="143"/>
      <c r="CW17" s="143"/>
      <c r="CX17" s="143"/>
      <c r="CY17" s="143"/>
      <c r="CZ17" s="143"/>
      <c r="DA17" s="143"/>
      <c r="DB17" s="143"/>
      <c r="DC17" s="143"/>
      <c r="DD17" s="143"/>
      <c r="DE17" s="143"/>
      <c r="DF17" s="143"/>
      <c r="DG17" s="143"/>
      <c r="DH17" s="143"/>
      <c r="DI17" s="143"/>
      <c r="DJ17" s="143"/>
      <c r="DK17" s="143"/>
      <c r="DL17" s="143"/>
      <c r="DM17" s="143"/>
      <c r="DN17" s="143"/>
      <c r="DO17" s="143"/>
      <c r="DP17" s="143"/>
      <c r="DQ17" s="143"/>
      <c r="DR17" s="143"/>
      <c r="DS17" s="143"/>
      <c r="DT17" s="143"/>
      <c r="DU17" s="143"/>
      <c r="DV17" s="143"/>
      <c r="DW17" s="143"/>
      <c r="DX17" s="143"/>
      <c r="DY17" s="143"/>
      <c r="DZ17" s="143"/>
      <c r="EA17" s="143"/>
      <c r="EB17" s="143"/>
      <c r="EC17" s="143"/>
      <c r="ED17" s="143"/>
      <c r="EE17" s="143"/>
      <c r="EF17" s="143"/>
      <c r="EG17" s="143"/>
      <c r="EH17" s="143"/>
      <c r="EI17" s="143"/>
      <c r="EJ17" s="143"/>
      <c r="EK17" s="143"/>
      <c r="EL17" s="143"/>
      <c r="EM17" s="143"/>
      <c r="EN17" s="143"/>
      <c r="EO17" s="143"/>
      <c r="EP17" s="143"/>
      <c r="EQ17" s="143"/>
      <c r="ER17" s="143"/>
    </row>
    <row r="18" spans="1:149" s="144" customFormat="1">
      <c r="A18" s="142"/>
      <c r="B18" s="151">
        <v>11</v>
      </c>
      <c r="C18" s="158" t="s">
        <v>1221</v>
      </c>
      <c r="D18" s="160" t="s">
        <v>1106</v>
      </c>
      <c r="E18" s="158"/>
      <c r="F18" s="158"/>
      <c r="G18" s="158"/>
      <c r="H18" s="161"/>
      <c r="I18" s="143"/>
      <c r="J18" s="143"/>
      <c r="K18" s="143"/>
      <c r="L18" s="143"/>
      <c r="M18" s="143"/>
      <c r="N18" s="143"/>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3"/>
      <c r="BP18" s="143"/>
      <c r="BQ18" s="143"/>
      <c r="BR18" s="143"/>
      <c r="BS18" s="143"/>
      <c r="BT18" s="143"/>
      <c r="BU18" s="143"/>
      <c r="BV18" s="143"/>
      <c r="BW18" s="143"/>
      <c r="BX18" s="143"/>
      <c r="BY18" s="143"/>
      <c r="BZ18" s="143"/>
      <c r="CA18" s="143"/>
      <c r="CB18" s="143"/>
      <c r="CC18" s="143"/>
      <c r="CD18" s="143"/>
      <c r="CE18" s="143"/>
      <c r="CF18" s="143"/>
      <c r="CG18" s="143"/>
      <c r="CH18" s="143"/>
      <c r="CI18" s="143"/>
      <c r="CJ18" s="143"/>
      <c r="CK18" s="143"/>
      <c r="CL18" s="143"/>
      <c r="CM18" s="143"/>
      <c r="CN18" s="143"/>
      <c r="CO18" s="143"/>
      <c r="CP18" s="143"/>
      <c r="CQ18" s="143"/>
      <c r="CR18" s="143"/>
      <c r="CS18" s="143"/>
      <c r="CT18" s="143"/>
      <c r="CU18" s="143"/>
      <c r="CV18" s="143"/>
      <c r="CW18" s="143"/>
      <c r="CX18" s="143"/>
      <c r="CY18" s="143"/>
      <c r="CZ18" s="143"/>
      <c r="DA18" s="143"/>
      <c r="DB18" s="143"/>
      <c r="DC18" s="143"/>
      <c r="DD18" s="143"/>
      <c r="DE18" s="143"/>
      <c r="DF18" s="143"/>
      <c r="DG18" s="143"/>
      <c r="DH18" s="143"/>
      <c r="DI18" s="143"/>
      <c r="DJ18" s="143"/>
      <c r="DK18" s="143"/>
      <c r="DL18" s="143"/>
      <c r="DM18" s="143"/>
      <c r="DN18" s="143"/>
      <c r="DO18" s="143"/>
      <c r="DP18" s="143"/>
      <c r="DQ18" s="143"/>
      <c r="DR18" s="143"/>
      <c r="DS18" s="143"/>
      <c r="DT18" s="143"/>
      <c r="DU18" s="143"/>
      <c r="DV18" s="143"/>
      <c r="DW18" s="143"/>
      <c r="DX18" s="143"/>
      <c r="DY18" s="143"/>
      <c r="DZ18" s="143"/>
      <c r="EA18" s="143"/>
      <c r="EB18" s="143"/>
      <c r="EC18" s="143"/>
      <c r="ED18" s="143"/>
      <c r="EE18" s="143"/>
      <c r="EF18" s="143"/>
      <c r="EG18" s="143"/>
      <c r="EH18" s="143"/>
      <c r="EI18" s="143"/>
      <c r="EJ18" s="143"/>
      <c r="EK18" s="143"/>
      <c r="EL18" s="143"/>
      <c r="EM18" s="143"/>
      <c r="EN18" s="143"/>
      <c r="EO18" s="143"/>
      <c r="EP18" s="143"/>
      <c r="EQ18" s="143"/>
      <c r="ER18" s="143"/>
    </row>
    <row r="19" spans="1:149" s="144" customFormat="1">
      <c r="A19" s="142"/>
      <c r="B19" s="151">
        <v>12</v>
      </c>
      <c r="C19" s="158" t="s">
        <v>1222</v>
      </c>
      <c r="D19" s="160" t="s">
        <v>1223</v>
      </c>
      <c r="E19" s="158"/>
      <c r="F19" s="158"/>
      <c r="G19" s="158"/>
      <c r="H19" s="161"/>
      <c r="I19" s="143"/>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43"/>
      <c r="BE19" s="143"/>
      <c r="BF19" s="143"/>
      <c r="BG19" s="143"/>
      <c r="BH19" s="143"/>
      <c r="BI19" s="143"/>
      <c r="BJ19" s="143"/>
      <c r="BK19" s="143"/>
      <c r="BL19" s="143"/>
      <c r="BM19" s="143"/>
      <c r="BN19" s="143"/>
      <c r="BO19" s="143"/>
      <c r="BP19" s="143"/>
      <c r="BQ19" s="143"/>
      <c r="BR19" s="143"/>
      <c r="BS19" s="143"/>
      <c r="BT19" s="143"/>
      <c r="BU19" s="143"/>
      <c r="BV19" s="143"/>
      <c r="BW19" s="143"/>
      <c r="BX19" s="143"/>
      <c r="BY19" s="143"/>
      <c r="BZ19" s="143"/>
      <c r="CA19" s="143"/>
      <c r="CB19" s="143"/>
      <c r="CC19" s="143"/>
      <c r="CD19" s="143"/>
      <c r="CE19" s="143"/>
      <c r="CF19" s="143"/>
      <c r="CG19" s="143"/>
      <c r="CH19" s="143"/>
      <c r="CI19" s="143"/>
      <c r="CJ19" s="143"/>
      <c r="CK19" s="143"/>
      <c r="CL19" s="143"/>
      <c r="CM19" s="143"/>
      <c r="CN19" s="143"/>
      <c r="CO19" s="143"/>
      <c r="CP19" s="143"/>
      <c r="CQ19" s="143"/>
      <c r="CR19" s="143"/>
      <c r="CS19" s="143"/>
      <c r="CT19" s="143"/>
      <c r="CU19" s="143"/>
      <c r="CV19" s="143"/>
      <c r="CW19" s="143"/>
      <c r="CX19" s="143"/>
      <c r="CY19" s="143"/>
      <c r="CZ19" s="143"/>
      <c r="DA19" s="143"/>
      <c r="DB19" s="143"/>
      <c r="DC19" s="143"/>
      <c r="DD19" s="143"/>
      <c r="DE19" s="143"/>
      <c r="DF19" s="143"/>
      <c r="DG19" s="143"/>
      <c r="DH19" s="143"/>
      <c r="DI19" s="143"/>
      <c r="DJ19" s="143"/>
      <c r="DK19" s="143"/>
      <c r="DL19" s="143"/>
      <c r="DM19" s="143"/>
      <c r="DN19" s="143"/>
      <c r="DO19" s="143"/>
      <c r="DP19" s="143"/>
      <c r="DQ19" s="143"/>
      <c r="DR19" s="143"/>
      <c r="DS19" s="143"/>
      <c r="DT19" s="143"/>
      <c r="DU19" s="143"/>
      <c r="DV19" s="143"/>
      <c r="DW19" s="143"/>
      <c r="DX19" s="143"/>
      <c r="DY19" s="143"/>
      <c r="DZ19" s="143"/>
      <c r="EA19" s="143"/>
      <c r="EB19" s="143"/>
      <c r="EC19" s="143"/>
      <c r="ED19" s="143"/>
      <c r="EE19" s="143"/>
      <c r="EF19" s="143"/>
      <c r="EG19" s="143"/>
      <c r="EH19" s="143"/>
      <c r="EI19" s="143"/>
      <c r="EJ19" s="143"/>
      <c r="EK19" s="143"/>
      <c r="EL19" s="143"/>
      <c r="EM19" s="143"/>
      <c r="EN19" s="143"/>
      <c r="EO19" s="143"/>
      <c r="EP19" s="143"/>
      <c r="EQ19" s="143"/>
      <c r="ER19" s="143"/>
    </row>
    <row r="20" spans="1:149" s="144" customFormat="1">
      <c r="A20" s="142"/>
      <c r="B20" s="151">
        <v>13</v>
      </c>
      <c r="C20" s="158" t="s">
        <v>1224</v>
      </c>
      <c r="D20" s="158" t="s">
        <v>1106</v>
      </c>
      <c r="E20" s="158"/>
      <c r="F20" s="158"/>
      <c r="G20" s="158"/>
      <c r="H20" s="159"/>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143"/>
      <c r="BM20" s="143"/>
      <c r="BN20" s="143"/>
      <c r="BO20" s="143"/>
      <c r="BP20" s="143"/>
      <c r="BQ20" s="143"/>
      <c r="BR20" s="143"/>
      <c r="BS20" s="143"/>
      <c r="BT20" s="143"/>
      <c r="BU20" s="143"/>
      <c r="BV20" s="143"/>
      <c r="BW20" s="143"/>
      <c r="BX20" s="143"/>
      <c r="BY20" s="143"/>
      <c r="BZ20" s="143"/>
      <c r="CA20" s="143"/>
      <c r="CB20" s="143"/>
      <c r="CC20" s="143"/>
      <c r="CD20" s="143"/>
      <c r="CE20" s="143"/>
      <c r="CF20" s="143"/>
      <c r="CG20" s="143"/>
      <c r="CH20" s="143"/>
      <c r="CI20" s="143"/>
      <c r="CJ20" s="143"/>
      <c r="CK20" s="143"/>
      <c r="CL20" s="143"/>
      <c r="CM20" s="143"/>
      <c r="CN20" s="143"/>
      <c r="CO20" s="143"/>
      <c r="CP20" s="143"/>
      <c r="CQ20" s="143"/>
      <c r="CR20" s="143"/>
      <c r="CS20" s="143"/>
      <c r="CT20" s="143"/>
      <c r="CU20" s="143"/>
      <c r="CV20" s="143"/>
      <c r="CW20" s="143"/>
      <c r="CX20" s="143"/>
      <c r="CY20" s="143"/>
      <c r="CZ20" s="143"/>
      <c r="DA20" s="143"/>
      <c r="DB20" s="143"/>
      <c r="DC20" s="143"/>
      <c r="DD20" s="143"/>
      <c r="DE20" s="143"/>
      <c r="DF20" s="143"/>
      <c r="DG20" s="143"/>
      <c r="DH20" s="143"/>
      <c r="DI20" s="143"/>
      <c r="DJ20" s="143"/>
      <c r="DK20" s="143"/>
      <c r="DL20" s="143"/>
      <c r="DM20" s="143"/>
      <c r="DN20" s="143"/>
      <c r="DO20" s="143"/>
      <c r="DP20" s="143"/>
      <c r="DQ20" s="143"/>
      <c r="DR20" s="143"/>
      <c r="DS20" s="143"/>
      <c r="DT20" s="143"/>
      <c r="DU20" s="143"/>
      <c r="DV20" s="143"/>
      <c r="DW20" s="143"/>
      <c r="DX20" s="143"/>
      <c r="DY20" s="143"/>
      <c r="DZ20" s="143"/>
      <c r="EA20" s="143"/>
      <c r="EB20" s="143"/>
      <c r="EC20" s="143"/>
      <c r="ED20" s="143"/>
      <c r="EE20" s="143"/>
      <c r="EF20" s="143"/>
      <c r="EG20" s="143"/>
      <c r="EH20" s="143"/>
      <c r="EI20" s="143"/>
      <c r="EJ20" s="143"/>
      <c r="EK20" s="143"/>
      <c r="EL20" s="143"/>
      <c r="EM20" s="143"/>
      <c r="EN20" s="143"/>
      <c r="EO20" s="143"/>
      <c r="EP20" s="143"/>
      <c r="EQ20" s="143"/>
      <c r="ER20" s="143"/>
    </row>
    <row r="21" spans="1:149" s="144" customFormat="1">
      <c r="A21" s="142"/>
      <c r="B21" s="151">
        <v>14</v>
      </c>
      <c r="C21" s="158" t="s">
        <v>1225</v>
      </c>
      <c r="D21" s="158" t="s">
        <v>1226</v>
      </c>
      <c r="E21" s="158" t="s">
        <v>1227</v>
      </c>
      <c r="F21" s="158"/>
      <c r="G21" s="158">
        <v>285</v>
      </c>
      <c r="H21" s="159" t="s">
        <v>1228</v>
      </c>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3"/>
      <c r="BP21" s="143"/>
      <c r="BQ21" s="143"/>
      <c r="BR21" s="143"/>
      <c r="BS21" s="143"/>
      <c r="BT21" s="143"/>
      <c r="BU21" s="143"/>
      <c r="BV21" s="143"/>
      <c r="BW21" s="143"/>
      <c r="BX21" s="143"/>
      <c r="BY21" s="143"/>
      <c r="BZ21" s="143"/>
      <c r="CA21" s="143"/>
      <c r="CB21" s="143"/>
      <c r="CC21" s="143"/>
      <c r="CD21" s="143"/>
      <c r="CE21" s="143"/>
      <c r="CF21" s="143"/>
      <c r="CG21" s="143"/>
      <c r="CH21" s="143"/>
      <c r="CI21" s="143"/>
      <c r="CJ21" s="143"/>
      <c r="CK21" s="143"/>
      <c r="CL21" s="143"/>
      <c r="CM21" s="143"/>
      <c r="CN21" s="143"/>
      <c r="CO21" s="143"/>
      <c r="CP21" s="143"/>
      <c r="CQ21" s="143"/>
      <c r="CR21" s="143"/>
      <c r="CS21" s="143"/>
      <c r="CT21" s="143"/>
      <c r="CU21" s="143"/>
      <c r="CV21" s="143"/>
      <c r="CW21" s="143"/>
      <c r="CX21" s="143"/>
      <c r="CY21" s="143"/>
      <c r="CZ21" s="143"/>
      <c r="DA21" s="143"/>
      <c r="DB21" s="143"/>
      <c r="DC21" s="143"/>
      <c r="DD21" s="143"/>
      <c r="DE21" s="143"/>
      <c r="DF21" s="143"/>
      <c r="DG21" s="143"/>
      <c r="DH21" s="143"/>
      <c r="DI21" s="143"/>
      <c r="DJ21" s="143"/>
      <c r="DK21" s="143"/>
      <c r="DL21" s="143"/>
      <c r="DM21" s="143"/>
      <c r="DN21" s="143"/>
      <c r="DO21" s="143"/>
      <c r="DP21" s="143"/>
      <c r="DQ21" s="143"/>
      <c r="DR21" s="143"/>
      <c r="DS21" s="143"/>
      <c r="DT21" s="143"/>
      <c r="DU21" s="143"/>
      <c r="DV21" s="143"/>
      <c r="DW21" s="143"/>
      <c r="DX21" s="143"/>
      <c r="DY21" s="143"/>
      <c r="DZ21" s="143"/>
      <c r="EA21" s="143"/>
      <c r="EB21" s="143"/>
      <c r="EC21" s="143"/>
      <c r="ED21" s="143"/>
      <c r="EE21" s="143"/>
      <c r="EF21" s="143"/>
      <c r="EG21" s="143"/>
      <c r="EH21" s="143"/>
      <c r="EI21" s="143"/>
      <c r="EJ21" s="143"/>
      <c r="EK21" s="143"/>
      <c r="EL21" s="143"/>
      <c r="EM21" s="143"/>
      <c r="EN21" s="143"/>
      <c r="EO21" s="143"/>
      <c r="EP21" s="143"/>
      <c r="EQ21" s="143"/>
      <c r="ER21" s="143"/>
    </row>
    <row r="22" spans="1:149" s="144" customFormat="1">
      <c r="A22" s="142"/>
      <c r="B22" s="151">
        <v>15</v>
      </c>
      <c r="C22" s="158" t="s">
        <v>1229</v>
      </c>
      <c r="D22" s="158" t="s">
        <v>1230</v>
      </c>
      <c r="E22" s="158"/>
      <c r="F22" s="158"/>
      <c r="G22" s="158"/>
      <c r="H22" s="159"/>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3"/>
      <c r="BT22" s="143"/>
      <c r="BU22" s="143"/>
      <c r="BV22" s="143"/>
      <c r="BW22" s="143"/>
      <c r="BX22" s="143"/>
      <c r="BY22" s="143"/>
      <c r="BZ22" s="143"/>
      <c r="CA22" s="143"/>
      <c r="CB22" s="143"/>
      <c r="CC22" s="143"/>
      <c r="CD22" s="143"/>
      <c r="CE22" s="143"/>
      <c r="CF22" s="143"/>
      <c r="CG22" s="143"/>
      <c r="CH22" s="143"/>
      <c r="CI22" s="143"/>
      <c r="CJ22" s="143"/>
      <c r="CK22" s="143"/>
      <c r="CL22" s="143"/>
      <c r="CM22" s="143"/>
      <c r="CN22" s="143"/>
      <c r="CO22" s="143"/>
      <c r="CP22" s="143"/>
      <c r="CQ22" s="143"/>
      <c r="CR22" s="143"/>
      <c r="CS22" s="143"/>
      <c r="CT22" s="143"/>
      <c r="CU22" s="143"/>
      <c r="CV22" s="143"/>
      <c r="CW22" s="143"/>
      <c r="CX22" s="143"/>
      <c r="CY22" s="143"/>
      <c r="CZ22" s="143"/>
      <c r="DA22" s="143"/>
      <c r="DB22" s="143"/>
      <c r="DC22" s="143"/>
      <c r="DD22" s="143"/>
      <c r="DE22" s="143"/>
      <c r="DF22" s="143"/>
      <c r="DG22" s="143"/>
      <c r="DH22" s="143"/>
      <c r="DI22" s="143"/>
      <c r="DJ22" s="143"/>
      <c r="DK22" s="143"/>
      <c r="DL22" s="143"/>
      <c r="DM22" s="143"/>
      <c r="DN22" s="143"/>
      <c r="DO22" s="143"/>
      <c r="DP22" s="143"/>
      <c r="DQ22" s="143"/>
      <c r="DR22" s="143"/>
      <c r="DS22" s="143"/>
      <c r="DT22" s="143"/>
      <c r="DU22" s="143"/>
      <c r="DV22" s="143"/>
      <c r="DW22" s="143"/>
      <c r="DX22" s="143"/>
      <c r="DY22" s="143"/>
      <c r="DZ22" s="143"/>
      <c r="EA22" s="143"/>
      <c r="EB22" s="143"/>
      <c r="EC22" s="143"/>
      <c r="ED22" s="143"/>
      <c r="EE22" s="143"/>
      <c r="EF22" s="143"/>
      <c r="EG22" s="143"/>
      <c r="EH22" s="143"/>
      <c r="EI22" s="143"/>
      <c r="EJ22" s="143"/>
      <c r="EK22" s="143"/>
      <c r="EL22" s="143"/>
      <c r="EM22" s="143"/>
      <c r="EN22" s="143"/>
      <c r="EO22" s="143"/>
      <c r="EP22" s="143"/>
      <c r="EQ22" s="143"/>
      <c r="ER22" s="143"/>
    </row>
    <row r="23" spans="1:149" s="144" customFormat="1">
      <c r="A23" s="142"/>
      <c r="B23" s="151">
        <v>16</v>
      </c>
      <c r="C23" s="158" t="s">
        <v>1231</v>
      </c>
      <c r="D23" s="158" t="s">
        <v>1232</v>
      </c>
      <c r="E23" s="158" t="s">
        <v>1233</v>
      </c>
      <c r="F23" s="158" t="s">
        <v>1234</v>
      </c>
      <c r="G23" s="158" t="s">
        <v>1235</v>
      </c>
      <c r="H23" s="159" t="s">
        <v>1236</v>
      </c>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3"/>
      <c r="BP23" s="143"/>
      <c r="BQ23" s="143"/>
      <c r="BR23" s="143"/>
      <c r="BS23" s="143"/>
      <c r="BT23" s="143"/>
      <c r="BU23" s="143"/>
      <c r="BV23" s="143"/>
      <c r="BW23" s="143"/>
      <c r="BX23" s="143"/>
      <c r="BY23" s="143"/>
      <c r="BZ23" s="143"/>
      <c r="CA23" s="143"/>
      <c r="CB23" s="143"/>
      <c r="CC23" s="143"/>
      <c r="CD23" s="143"/>
      <c r="CE23" s="143"/>
      <c r="CF23" s="143"/>
      <c r="CG23" s="143"/>
      <c r="CH23" s="143"/>
      <c r="CI23" s="143"/>
      <c r="CJ23" s="143"/>
      <c r="CK23" s="143"/>
      <c r="CL23" s="143"/>
      <c r="CM23" s="143"/>
      <c r="CN23" s="143"/>
      <c r="CO23" s="143"/>
      <c r="CP23" s="143"/>
      <c r="CQ23" s="143"/>
      <c r="CR23" s="143"/>
      <c r="CS23" s="143"/>
      <c r="CT23" s="143"/>
      <c r="CU23" s="143"/>
      <c r="CV23" s="143"/>
      <c r="CW23" s="143"/>
      <c r="CX23" s="143"/>
      <c r="CY23" s="143"/>
      <c r="CZ23" s="143"/>
      <c r="DA23" s="143"/>
      <c r="DB23" s="143"/>
      <c r="DC23" s="143"/>
      <c r="DD23" s="143"/>
      <c r="DE23" s="143"/>
      <c r="DF23" s="143"/>
      <c r="DG23" s="143"/>
      <c r="DH23" s="143"/>
      <c r="DI23" s="143"/>
      <c r="DJ23" s="143"/>
      <c r="DK23" s="143"/>
      <c r="DL23" s="143"/>
      <c r="DM23" s="143"/>
      <c r="DN23" s="143"/>
      <c r="DO23" s="143"/>
      <c r="DP23" s="143"/>
      <c r="DQ23" s="143"/>
      <c r="DR23" s="143"/>
      <c r="DS23" s="143"/>
      <c r="DT23" s="143"/>
      <c r="DU23" s="143"/>
      <c r="DV23" s="143"/>
      <c r="DW23" s="143"/>
      <c r="DX23" s="143"/>
      <c r="DY23" s="143"/>
      <c r="DZ23" s="143"/>
      <c r="EA23" s="143"/>
      <c r="EB23" s="143"/>
      <c r="EC23" s="143"/>
      <c r="ED23" s="143"/>
      <c r="EE23" s="143"/>
      <c r="EF23" s="143"/>
      <c r="EG23" s="143"/>
      <c r="EH23" s="143"/>
      <c r="EI23" s="143"/>
      <c r="EJ23" s="143"/>
      <c r="EK23" s="143"/>
      <c r="EL23" s="143"/>
      <c r="EM23" s="143"/>
      <c r="EN23" s="143"/>
      <c r="EO23" s="143"/>
      <c r="EP23" s="143"/>
      <c r="EQ23" s="143"/>
      <c r="ER23" s="143"/>
    </row>
    <row r="24" spans="1:149" s="144" customFormat="1">
      <c r="A24" s="142"/>
      <c r="B24" s="151">
        <v>17</v>
      </c>
      <c r="C24" s="160" t="s">
        <v>1237</v>
      </c>
      <c r="D24" s="160" t="s">
        <v>1238</v>
      </c>
      <c r="E24" s="160" t="s">
        <v>1238</v>
      </c>
      <c r="F24" s="160"/>
      <c r="G24" s="160">
        <v>275</v>
      </c>
      <c r="H24" s="161" t="s">
        <v>1239</v>
      </c>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43"/>
      <c r="DT24" s="143"/>
      <c r="DU24" s="143"/>
      <c r="DV24" s="143"/>
      <c r="DW24" s="143"/>
      <c r="DX24" s="143"/>
      <c r="DY24" s="143"/>
      <c r="DZ24" s="143"/>
      <c r="EA24" s="143"/>
      <c r="EB24" s="143"/>
      <c r="EC24" s="143"/>
      <c r="ED24" s="143"/>
      <c r="EE24" s="143"/>
      <c r="EF24" s="143"/>
      <c r="EG24" s="143"/>
      <c r="EH24" s="143"/>
      <c r="EI24" s="143"/>
      <c r="EJ24" s="143"/>
      <c r="EK24" s="143"/>
      <c r="EL24" s="143"/>
      <c r="EM24" s="143"/>
      <c r="EN24" s="143"/>
      <c r="EO24" s="143"/>
      <c r="EP24" s="143"/>
      <c r="EQ24" s="143"/>
      <c r="ER24" s="143"/>
    </row>
    <row r="25" spans="1:149" s="138" customFormat="1">
      <c r="A25" s="139"/>
      <c r="B25" s="152"/>
      <c r="C25" s="143"/>
      <c r="D25" s="143"/>
      <c r="E25" s="143"/>
      <c r="F25" s="143"/>
      <c r="G25" s="143"/>
      <c r="H25" s="143"/>
      <c r="ER25" s="139"/>
      <c r="ES25" s="139"/>
    </row>
    <row r="26" spans="1:149">
      <c r="B26" s="153"/>
      <c r="C26" s="144"/>
      <c r="D26" s="144"/>
      <c r="E26" s="144"/>
      <c r="F26" s="144"/>
      <c r="G26" s="144"/>
      <c r="H26" s="144"/>
    </row>
    <row r="27" spans="1:149" s="138" customFormat="1" ht="12.75" customHeight="1">
      <c r="A27" s="139"/>
      <c r="B27" s="260" t="s">
        <v>1240</v>
      </c>
      <c r="C27" s="261"/>
      <c r="D27" s="261"/>
      <c r="E27" s="261"/>
      <c r="F27" s="261"/>
      <c r="G27" s="261"/>
      <c r="H27" s="154"/>
      <c r="ER27" s="139"/>
      <c r="ES27" s="139"/>
    </row>
    <row r="28" spans="1:149">
      <c r="B28" s="155" t="s">
        <v>1093</v>
      </c>
      <c r="C28" s="162" t="s">
        <v>1094</v>
      </c>
      <c r="D28" s="162" t="s">
        <v>1241</v>
      </c>
      <c r="E28" s="162" t="s">
        <v>1095</v>
      </c>
      <c r="F28" s="162" t="s">
        <v>1096</v>
      </c>
      <c r="G28" s="162" t="s">
        <v>1242</v>
      </c>
      <c r="H28" s="157" t="s">
        <v>1098</v>
      </c>
    </row>
    <row r="29" spans="1:149">
      <c r="B29" s="151">
        <v>1</v>
      </c>
      <c r="C29" s="158" t="s">
        <v>1243</v>
      </c>
      <c r="D29" s="158" t="s">
        <v>1244</v>
      </c>
      <c r="E29" s="158" t="s">
        <v>1245</v>
      </c>
      <c r="F29" s="163"/>
      <c r="G29" s="164"/>
      <c r="H29" s="165"/>
    </row>
    <row r="30" spans="1:149" ht="14.5">
      <c r="B30" s="151">
        <f>B29+1</f>
        <v>2</v>
      </c>
      <c r="C30" s="158" t="s">
        <v>1246</v>
      </c>
      <c r="D30" s="166" t="s">
        <v>1247</v>
      </c>
      <c r="E30" s="158" t="s">
        <v>1248</v>
      </c>
      <c r="F30" s="163" t="s">
        <v>1249</v>
      </c>
      <c r="G30" s="164"/>
      <c r="H30" s="165"/>
    </row>
    <row r="31" spans="1:149">
      <c r="B31" s="151">
        <f>B30+1</f>
        <v>3</v>
      </c>
      <c r="C31" s="158" t="s">
        <v>1250</v>
      </c>
      <c r="D31" s="158" t="s">
        <v>1251</v>
      </c>
      <c r="E31" s="158" t="s">
        <v>1252</v>
      </c>
      <c r="F31" s="163"/>
      <c r="G31" s="164"/>
      <c r="H31" s="165"/>
    </row>
    <row r="32" spans="1:149" ht="14.5">
      <c r="B32" s="151">
        <f>B31+1</f>
        <v>4</v>
      </c>
      <c r="C32" s="158" t="s">
        <v>1253</v>
      </c>
      <c r="D32" s="166" t="s">
        <v>1254</v>
      </c>
      <c r="E32" s="158" t="s">
        <v>1255</v>
      </c>
      <c r="F32" s="163" t="s">
        <v>1256</v>
      </c>
      <c r="G32" s="164"/>
      <c r="H32" s="165"/>
    </row>
    <row r="33" spans="1:149" ht="14.5">
      <c r="B33" s="151">
        <f>B32+1</f>
        <v>5</v>
      </c>
      <c r="C33" s="158" t="s">
        <v>1257</v>
      </c>
      <c r="D33" s="166" t="s">
        <v>1244</v>
      </c>
      <c r="E33" s="158" t="s">
        <v>1245</v>
      </c>
      <c r="F33" s="163"/>
      <c r="G33" s="164"/>
      <c r="H33" s="165"/>
    </row>
    <row r="34" spans="1:149">
      <c r="B34" s="151">
        <v>6</v>
      </c>
      <c r="C34" s="158" t="s">
        <v>1258</v>
      </c>
      <c r="D34" s="158" t="s">
        <v>1259</v>
      </c>
      <c r="E34" s="158" t="s">
        <v>1260</v>
      </c>
      <c r="F34" s="163"/>
      <c r="G34" s="164" t="s">
        <v>1261</v>
      </c>
      <c r="H34" s="165" t="s">
        <v>1262</v>
      </c>
    </row>
    <row r="35" spans="1:149">
      <c r="B35" s="151">
        <v>7</v>
      </c>
      <c r="C35" s="158" t="s">
        <v>1263</v>
      </c>
      <c r="D35" s="158" t="s">
        <v>1264</v>
      </c>
      <c r="E35" s="158" t="s">
        <v>1265</v>
      </c>
      <c r="F35" s="163"/>
      <c r="G35" s="164"/>
      <c r="H35" s="165"/>
    </row>
    <row r="36" spans="1:149" ht="14.5">
      <c r="B36" s="151">
        <f>B35+1</f>
        <v>8</v>
      </c>
      <c r="C36" s="158" t="s">
        <v>1266</v>
      </c>
      <c r="D36" s="166" t="s">
        <v>1264</v>
      </c>
      <c r="E36" s="158" t="s">
        <v>1267</v>
      </c>
      <c r="F36" s="166"/>
      <c r="G36" s="166"/>
      <c r="H36" s="167"/>
    </row>
    <row r="37" spans="1:149" ht="14.5">
      <c r="B37" s="151">
        <v>9</v>
      </c>
      <c r="C37" s="158" t="s">
        <v>1268</v>
      </c>
      <c r="D37" s="166" t="s">
        <v>1269</v>
      </c>
      <c r="E37" s="158"/>
      <c r="F37" s="166"/>
      <c r="G37" s="166"/>
      <c r="H37" s="167"/>
    </row>
    <row r="38" spans="1:149" ht="14.5">
      <c r="B38" s="151">
        <v>10</v>
      </c>
      <c r="C38" s="158" t="s">
        <v>1270</v>
      </c>
      <c r="D38" s="166" t="s">
        <v>1271</v>
      </c>
      <c r="E38" s="158" t="s">
        <v>1272</v>
      </c>
      <c r="F38" s="166"/>
      <c r="G38" s="166"/>
      <c r="H38" s="167"/>
    </row>
    <row r="39" spans="1:149" ht="14.5">
      <c r="B39" s="151">
        <v>11</v>
      </c>
      <c r="C39" s="158" t="s">
        <v>1273</v>
      </c>
      <c r="D39" s="166" t="s">
        <v>1271</v>
      </c>
      <c r="E39" s="158" t="s">
        <v>1274</v>
      </c>
      <c r="F39" s="166"/>
      <c r="G39" s="166"/>
      <c r="H39" s="167"/>
    </row>
    <row r="40" spans="1:149" ht="14.5">
      <c r="B40" s="151">
        <v>12</v>
      </c>
      <c r="C40" s="158" t="s">
        <v>1275</v>
      </c>
      <c r="D40" s="158" t="s">
        <v>1276</v>
      </c>
      <c r="E40" s="158" t="s">
        <v>1277</v>
      </c>
      <c r="F40" s="166"/>
      <c r="G40" s="166" t="s">
        <v>1278</v>
      </c>
      <c r="H40" s="167" t="s">
        <v>1279</v>
      </c>
    </row>
    <row r="41" spans="1:149" ht="14.5">
      <c r="B41" s="151">
        <v>13</v>
      </c>
      <c r="C41" s="158" t="s">
        <v>1280</v>
      </c>
      <c r="D41" s="166" t="s">
        <v>1264</v>
      </c>
      <c r="E41" s="158" t="s">
        <v>1281</v>
      </c>
      <c r="F41" s="166"/>
      <c r="G41" s="166"/>
      <c r="H41" s="167"/>
    </row>
    <row r="42" spans="1:149" ht="14.5">
      <c r="B42" s="151">
        <v>14</v>
      </c>
      <c r="C42" s="158" t="s">
        <v>1282</v>
      </c>
      <c r="D42" s="166" t="s">
        <v>1283</v>
      </c>
      <c r="E42" s="158" t="s">
        <v>1284</v>
      </c>
      <c r="F42" s="166"/>
      <c r="G42" s="166"/>
      <c r="H42" s="167"/>
    </row>
    <row r="43" spans="1:149" ht="14.5">
      <c r="B43" s="151">
        <f t="shared" ref="B43:B51" si="0">B42+1</f>
        <v>15</v>
      </c>
      <c r="C43" s="158" t="s">
        <v>1285</v>
      </c>
      <c r="D43" s="158" t="s">
        <v>1286</v>
      </c>
      <c r="E43" s="158" t="s">
        <v>1287</v>
      </c>
      <c r="F43" s="166"/>
      <c r="G43" s="166"/>
      <c r="H43" s="167"/>
    </row>
    <row r="44" spans="1:149">
      <c r="B44" s="151">
        <f t="shared" si="0"/>
        <v>16</v>
      </c>
      <c r="C44" s="158" t="s">
        <v>1288</v>
      </c>
      <c r="D44" s="158" t="s">
        <v>1271</v>
      </c>
      <c r="E44" s="158" t="s">
        <v>1289</v>
      </c>
      <c r="F44" s="163"/>
      <c r="G44" s="164"/>
      <c r="H44" s="165"/>
    </row>
    <row r="45" spans="1:149" ht="14.5">
      <c r="B45" s="151">
        <f t="shared" si="0"/>
        <v>17</v>
      </c>
      <c r="C45" s="158" t="s">
        <v>1290</v>
      </c>
      <c r="D45" s="166" t="s">
        <v>1291</v>
      </c>
      <c r="E45" s="158" t="s">
        <v>1292</v>
      </c>
      <c r="F45" s="163"/>
      <c r="G45" s="164" t="s">
        <v>1293</v>
      </c>
      <c r="H45" s="165" t="s">
        <v>1294</v>
      </c>
    </row>
    <row r="46" spans="1:149" ht="14.5">
      <c r="B46" s="151">
        <f t="shared" si="0"/>
        <v>18</v>
      </c>
      <c r="C46" s="158" t="s">
        <v>1295</v>
      </c>
      <c r="D46" s="166" t="s">
        <v>1247</v>
      </c>
      <c r="E46" s="158" t="s">
        <v>1296</v>
      </c>
      <c r="F46" s="163"/>
      <c r="G46" s="164"/>
      <c r="H46" s="165"/>
    </row>
    <row r="47" spans="1:149" s="138" customFormat="1">
      <c r="A47" s="139"/>
      <c r="B47" s="151">
        <f t="shared" si="0"/>
        <v>19</v>
      </c>
      <c r="C47" s="168" t="s">
        <v>1297</v>
      </c>
      <c r="D47" s="158" t="s">
        <v>1298</v>
      </c>
      <c r="E47" s="158" t="s">
        <v>1299</v>
      </c>
      <c r="F47" s="163"/>
      <c r="G47" s="164"/>
      <c r="H47" s="165"/>
      <c r="ER47" s="139"/>
      <c r="ES47" s="139"/>
    </row>
    <row r="48" spans="1:149" s="138" customFormat="1">
      <c r="A48" s="139"/>
      <c r="B48" s="151">
        <f t="shared" si="0"/>
        <v>20</v>
      </c>
      <c r="C48" s="169" t="s">
        <v>1300</v>
      </c>
      <c r="D48" s="169" t="s">
        <v>1301</v>
      </c>
      <c r="E48" s="169" t="s">
        <v>1302</v>
      </c>
      <c r="F48" s="169"/>
      <c r="G48" s="169"/>
      <c r="H48" s="170"/>
      <c r="ER48" s="139"/>
      <c r="ES48" s="139"/>
    </row>
    <row r="49" spans="1:149" s="138" customFormat="1">
      <c r="A49" s="139"/>
      <c r="B49" s="151">
        <f t="shared" si="0"/>
        <v>21</v>
      </c>
      <c r="C49" s="169" t="s">
        <v>1303</v>
      </c>
      <c r="D49" s="169" t="s">
        <v>1304</v>
      </c>
      <c r="E49" s="169" t="s">
        <v>1305</v>
      </c>
      <c r="F49" s="169"/>
      <c r="G49" s="169"/>
      <c r="H49" s="170"/>
      <c r="ER49" s="139"/>
      <c r="ES49" s="139"/>
    </row>
    <row r="50" spans="1:149" s="138" customFormat="1">
      <c r="A50" s="139"/>
      <c r="B50" s="151">
        <f t="shared" si="0"/>
        <v>22</v>
      </c>
      <c r="C50" s="169" t="s">
        <v>1306</v>
      </c>
      <c r="D50" s="169" t="s">
        <v>1307</v>
      </c>
      <c r="E50" s="169" t="s">
        <v>1308</v>
      </c>
      <c r="F50" s="169"/>
      <c r="G50" s="169"/>
      <c r="H50" s="170"/>
      <c r="ER50" s="139"/>
      <c r="ES50" s="139"/>
    </row>
    <row r="51" spans="1:149" s="138" customFormat="1">
      <c r="A51" s="139"/>
      <c r="B51" s="151">
        <f t="shared" si="0"/>
        <v>23</v>
      </c>
      <c r="C51" s="169" t="s">
        <v>1309</v>
      </c>
      <c r="D51" s="169" t="s">
        <v>1310</v>
      </c>
      <c r="E51" s="169"/>
      <c r="F51" s="169"/>
      <c r="G51" s="169"/>
      <c r="H51" s="170"/>
      <c r="ER51" s="139"/>
      <c r="ES51" s="139"/>
    </row>
  </sheetData>
  <mergeCells count="2">
    <mergeCell ref="B6:G6"/>
    <mergeCell ref="B27:G27"/>
  </mergeCells>
  <conditionalFormatting sqref="D29:D42">
    <cfRule type="cellIs" dxfId="1" priority="2" operator="equal">
      <formula>"Addressed On Site"</formula>
    </cfRule>
  </conditionalFormatting>
  <conditionalFormatting sqref="D45:D50">
    <cfRule type="cellIs" dxfId="0" priority="1" operator="equal">
      <formula>"Addressed On Site"</formula>
    </cfRule>
  </conditionalFormatting>
  <pageMargins left="0.7" right="0.7" top="0.75" bottom="0.75" header="0.3" footer="0.3"/>
  <pageSetup scale="10" orientation="portrait" r:id="rId1"/>
  <headerFooter>
    <oddFooter>&amp;L&amp;A&amp;RPage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86CA0-A2B3-4BCD-BA22-D9A4976395AD}">
  <sheetPr codeName="Sheet18">
    <tabColor theme="4" tint="0.79998168889431442"/>
  </sheetPr>
  <dimension ref="B1:L38"/>
  <sheetViews>
    <sheetView showGridLines="0" zoomScale="81" workbookViewId="0"/>
  </sheetViews>
  <sheetFormatPr defaultColWidth="6.25" defaultRowHeight="13"/>
  <cols>
    <col min="1" max="1" width="2.83203125" style="121" customWidth="1"/>
    <col min="2" max="2" width="6.25" style="121"/>
    <col min="3" max="3" width="31.08203125" style="121" customWidth="1"/>
    <col min="4" max="16384" width="6.25" style="121"/>
  </cols>
  <sheetData>
    <row r="1" spans="2:6" s="117" customFormat="1" ht="14"/>
    <row r="2" spans="2:6" s="119" customFormat="1" ht="18">
      <c r="B2" s="118" t="s">
        <v>1311</v>
      </c>
    </row>
    <row r="3" spans="2:6" s="119" customFormat="1" ht="18">
      <c r="B3" s="118"/>
    </row>
    <row r="4" spans="2:6" s="119" customFormat="1" ht="18">
      <c r="B4" s="118"/>
      <c r="C4" s="120" t="s">
        <v>1312</v>
      </c>
    </row>
    <row r="5" spans="2:6" s="119" customFormat="1" ht="11.5">
      <c r="B5" s="119">
        <v>1</v>
      </c>
      <c r="C5" s="119" t="s">
        <v>1313</v>
      </c>
      <c r="D5" s="119" t="s">
        <v>1314</v>
      </c>
    </row>
    <row r="6" spans="2:6" s="119" customFormat="1" ht="11.5">
      <c r="B6" s="119">
        <v>2</v>
      </c>
      <c r="C6" s="119" t="s">
        <v>1315</v>
      </c>
      <c r="D6" s="119" t="s">
        <v>1316</v>
      </c>
    </row>
    <row r="7" spans="2:6" s="119" customFormat="1" ht="11.5">
      <c r="B7" s="119">
        <v>3</v>
      </c>
      <c r="C7" s="119" t="s">
        <v>1317</v>
      </c>
      <c r="D7" s="119" t="s">
        <v>1318</v>
      </c>
    </row>
    <row r="8" spans="2:6" s="119" customFormat="1" ht="18">
      <c r="B8" s="118"/>
    </row>
    <row r="9" spans="2:6" s="119" customFormat="1" ht="18.5" thickBot="1">
      <c r="B9" s="118"/>
      <c r="F9" s="119" t="s">
        <v>1319</v>
      </c>
    </row>
    <row r="10" spans="2:6">
      <c r="B10" s="271" t="s">
        <v>1320</v>
      </c>
      <c r="C10" s="272"/>
      <c r="D10" s="272"/>
      <c r="E10" s="272"/>
      <c r="F10" s="273"/>
    </row>
    <row r="11" spans="2:6">
      <c r="B11" s="122" t="s">
        <v>1093</v>
      </c>
      <c r="C11" s="123" t="s">
        <v>1321</v>
      </c>
      <c r="D11" s="123">
        <v>2024</v>
      </c>
      <c r="E11" s="123">
        <v>2025</v>
      </c>
      <c r="F11" s="124" t="s">
        <v>1322</v>
      </c>
    </row>
    <row r="12" spans="2:6" ht="23">
      <c r="B12" s="125">
        <v>1</v>
      </c>
      <c r="C12" s="126" t="s">
        <v>1323</v>
      </c>
      <c r="D12" s="127"/>
      <c r="E12" s="128"/>
      <c r="F12" s="129"/>
    </row>
    <row r="13" spans="2:6" ht="29.5" customHeight="1">
      <c r="B13" s="125">
        <f>B12+1</f>
        <v>2</v>
      </c>
      <c r="C13" s="126" t="s">
        <v>1324</v>
      </c>
      <c r="D13" s="127"/>
      <c r="E13" s="130"/>
      <c r="F13" s="131"/>
    </row>
    <row r="14" spans="2:6">
      <c r="B14" s="132">
        <v>3</v>
      </c>
      <c r="C14" s="126" t="s">
        <v>1325</v>
      </c>
      <c r="D14" s="127"/>
      <c r="E14" s="130"/>
      <c r="F14" s="131"/>
    </row>
    <row r="15" spans="2:6">
      <c r="B15" s="132">
        <v>4</v>
      </c>
      <c r="C15" s="126" t="s">
        <v>1326</v>
      </c>
      <c r="D15" s="127"/>
      <c r="E15" s="130"/>
      <c r="F15" s="131"/>
    </row>
    <row r="16" spans="2:6">
      <c r="B16" s="132">
        <v>5</v>
      </c>
      <c r="C16" s="126" t="s">
        <v>1327</v>
      </c>
      <c r="D16" s="127"/>
      <c r="E16" s="130"/>
      <c r="F16" s="131"/>
    </row>
    <row r="17" spans="2:12">
      <c r="B17" s="132">
        <v>6</v>
      </c>
      <c r="C17" s="126" t="s">
        <v>1328</v>
      </c>
      <c r="D17" s="127"/>
      <c r="E17" s="130"/>
      <c r="F17" s="131"/>
    </row>
    <row r="18" spans="2:12" ht="13.5" thickBot="1">
      <c r="B18" s="133"/>
      <c r="C18" s="134" t="s">
        <v>1329</v>
      </c>
      <c r="D18" s="135">
        <f>SUM(D12:D17)</f>
        <v>0</v>
      </c>
      <c r="E18" s="135">
        <f>SUM(E12:E17)</f>
        <v>0</v>
      </c>
      <c r="F18" s="136">
        <f>SUM(F12:F17)</f>
        <v>0</v>
      </c>
    </row>
    <row r="19" spans="2:12" ht="13.5" thickBot="1"/>
    <row r="20" spans="2:12">
      <c r="B20" s="271" t="s">
        <v>1330</v>
      </c>
      <c r="C20" s="272"/>
      <c r="D20" s="272"/>
      <c r="E20" s="272"/>
      <c r="F20" s="273"/>
      <c r="H20" s="271" t="s">
        <v>1331</v>
      </c>
      <c r="I20" s="272"/>
      <c r="J20" s="272"/>
      <c r="K20" s="272"/>
      <c r="L20" s="273"/>
    </row>
    <row r="21" spans="2:12">
      <c r="B21" s="122" t="s">
        <v>1093</v>
      </c>
      <c r="C21" s="123" t="s">
        <v>1094</v>
      </c>
      <c r="D21" s="123">
        <v>2024</v>
      </c>
      <c r="E21" s="123">
        <v>2025</v>
      </c>
      <c r="F21" s="124" t="s">
        <v>1322</v>
      </c>
      <c r="H21" s="262"/>
      <c r="I21" s="263"/>
      <c r="J21" s="263"/>
      <c r="K21" s="263"/>
      <c r="L21" s="264"/>
    </row>
    <row r="22" spans="2:12">
      <c r="B22" s="125">
        <v>1</v>
      </c>
      <c r="C22" s="126" t="s">
        <v>1332</v>
      </c>
      <c r="D22" s="127"/>
      <c r="E22" s="128"/>
      <c r="F22" s="129"/>
      <c r="H22" s="265"/>
      <c r="I22" s="266"/>
      <c r="J22" s="266"/>
      <c r="K22" s="266"/>
      <c r="L22" s="267"/>
    </row>
    <row r="23" spans="2:12">
      <c r="B23" s="125">
        <f>B22+1</f>
        <v>2</v>
      </c>
      <c r="C23" s="126" t="s">
        <v>1333</v>
      </c>
      <c r="D23" s="127"/>
      <c r="E23" s="130"/>
      <c r="F23" s="131"/>
      <c r="H23" s="265"/>
      <c r="I23" s="266"/>
      <c r="J23" s="266"/>
      <c r="K23" s="266"/>
      <c r="L23" s="267"/>
    </row>
    <row r="24" spans="2:12">
      <c r="B24" s="132">
        <v>3</v>
      </c>
      <c r="C24" s="126" t="s">
        <v>1142</v>
      </c>
      <c r="D24" s="127"/>
      <c r="E24" s="130"/>
      <c r="F24" s="131"/>
      <c r="H24" s="265"/>
      <c r="I24" s="266"/>
      <c r="J24" s="266"/>
      <c r="K24" s="266"/>
      <c r="L24" s="267"/>
    </row>
    <row r="25" spans="2:12">
      <c r="B25" s="132">
        <v>4</v>
      </c>
      <c r="C25" s="126" t="s">
        <v>1334</v>
      </c>
      <c r="D25" s="127"/>
      <c r="E25" s="130"/>
      <c r="F25" s="131"/>
      <c r="H25" s="265"/>
      <c r="I25" s="266"/>
      <c r="J25" s="266"/>
      <c r="K25" s="266"/>
      <c r="L25" s="267"/>
    </row>
    <row r="26" spans="2:12">
      <c r="B26" s="132">
        <v>5</v>
      </c>
      <c r="C26" s="126" t="s">
        <v>1335</v>
      </c>
      <c r="D26" s="127"/>
      <c r="E26" s="130"/>
      <c r="F26" s="131"/>
      <c r="H26" s="265"/>
      <c r="I26" s="266"/>
      <c r="J26" s="266"/>
      <c r="K26" s="266"/>
      <c r="L26" s="267"/>
    </row>
    <row r="27" spans="2:12">
      <c r="B27" s="132">
        <v>6</v>
      </c>
      <c r="C27" s="126" t="s">
        <v>1328</v>
      </c>
      <c r="D27" s="127"/>
      <c r="E27" s="130"/>
      <c r="F27" s="131"/>
      <c r="H27" s="265"/>
      <c r="I27" s="266"/>
      <c r="J27" s="266"/>
      <c r="K27" s="266"/>
      <c r="L27" s="267"/>
    </row>
    <row r="28" spans="2:12" ht="13.5" thickBot="1">
      <c r="B28" s="133"/>
      <c r="C28" s="134" t="s">
        <v>11</v>
      </c>
      <c r="D28" s="135">
        <f>SUM(D22:D27)</f>
        <v>0</v>
      </c>
      <c r="E28" s="135">
        <f>SUM(E22:E27)</f>
        <v>0</v>
      </c>
      <c r="F28" s="136">
        <f>SUM(F22:F27)</f>
        <v>0</v>
      </c>
      <c r="H28" s="268"/>
      <c r="I28" s="269"/>
      <c r="J28" s="269"/>
      <c r="K28" s="269"/>
      <c r="L28" s="270"/>
    </row>
    <row r="29" spans="2:12" ht="13.5" thickBot="1"/>
    <row r="30" spans="2:12">
      <c r="B30" s="271" t="s">
        <v>1336</v>
      </c>
      <c r="C30" s="272"/>
      <c r="D30" s="272"/>
      <c r="E30" s="272"/>
      <c r="F30" s="273"/>
      <c r="H30" s="271" t="s">
        <v>1331</v>
      </c>
      <c r="I30" s="272"/>
      <c r="J30" s="272"/>
      <c r="K30" s="272"/>
      <c r="L30" s="273"/>
    </row>
    <row r="31" spans="2:12">
      <c r="B31" s="122" t="s">
        <v>1093</v>
      </c>
      <c r="C31" s="123" t="s">
        <v>1094</v>
      </c>
      <c r="D31" s="123">
        <v>2024</v>
      </c>
      <c r="E31" s="123">
        <v>2025</v>
      </c>
      <c r="F31" s="124" t="s">
        <v>1322</v>
      </c>
      <c r="H31" s="262"/>
      <c r="I31" s="263"/>
      <c r="J31" s="263"/>
      <c r="K31" s="263"/>
      <c r="L31" s="264"/>
    </row>
    <row r="32" spans="2:12">
      <c r="B32" s="125">
        <v>1</v>
      </c>
      <c r="C32" s="126" t="s">
        <v>1332</v>
      </c>
      <c r="D32" s="127"/>
      <c r="E32" s="128"/>
      <c r="F32" s="129"/>
      <c r="H32" s="265"/>
      <c r="I32" s="266"/>
      <c r="J32" s="266"/>
      <c r="K32" s="266"/>
      <c r="L32" s="267"/>
    </row>
    <row r="33" spans="2:12">
      <c r="B33" s="125">
        <f>B32+1</f>
        <v>2</v>
      </c>
      <c r="C33" s="126" t="s">
        <v>1333</v>
      </c>
      <c r="D33" s="127"/>
      <c r="E33" s="130"/>
      <c r="F33" s="131"/>
      <c r="H33" s="265"/>
      <c r="I33" s="266"/>
      <c r="J33" s="266"/>
      <c r="K33" s="266"/>
      <c r="L33" s="267"/>
    </row>
    <row r="34" spans="2:12">
      <c r="B34" s="132">
        <v>3</v>
      </c>
      <c r="C34" s="126" t="s">
        <v>1142</v>
      </c>
      <c r="D34" s="127"/>
      <c r="E34" s="130"/>
      <c r="F34" s="131"/>
      <c r="H34" s="265"/>
      <c r="I34" s="266"/>
      <c r="J34" s="266"/>
      <c r="K34" s="266"/>
      <c r="L34" s="267"/>
    </row>
    <row r="35" spans="2:12">
      <c r="B35" s="132">
        <v>4</v>
      </c>
      <c r="C35" s="126" t="s">
        <v>1334</v>
      </c>
      <c r="D35" s="127"/>
      <c r="E35" s="130"/>
      <c r="F35" s="131"/>
      <c r="H35" s="265"/>
      <c r="I35" s="266"/>
      <c r="J35" s="266"/>
      <c r="K35" s="266"/>
      <c r="L35" s="267"/>
    </row>
    <row r="36" spans="2:12">
      <c r="B36" s="132">
        <v>5</v>
      </c>
      <c r="C36" s="126" t="s">
        <v>1335</v>
      </c>
      <c r="D36" s="127"/>
      <c r="E36" s="130"/>
      <c r="F36" s="131"/>
      <c r="H36" s="265"/>
      <c r="I36" s="266"/>
      <c r="J36" s="266"/>
      <c r="K36" s="266"/>
      <c r="L36" s="267"/>
    </row>
    <row r="37" spans="2:12">
      <c r="B37" s="132">
        <v>6</v>
      </c>
      <c r="C37" s="126" t="s">
        <v>1328</v>
      </c>
      <c r="D37" s="127"/>
      <c r="E37" s="130"/>
      <c r="F37" s="131"/>
      <c r="H37" s="265"/>
      <c r="I37" s="266"/>
      <c r="J37" s="266"/>
      <c r="K37" s="266"/>
      <c r="L37" s="267"/>
    </row>
    <row r="38" spans="2:12" ht="13.5" thickBot="1">
      <c r="B38" s="133"/>
      <c r="C38" s="134" t="s">
        <v>11</v>
      </c>
      <c r="D38" s="135">
        <f>SUM(D32:D37)</f>
        <v>0</v>
      </c>
      <c r="E38" s="135">
        <f>SUM(E32:E37)</f>
        <v>0</v>
      </c>
      <c r="F38" s="136">
        <f>SUM(F32:F37)</f>
        <v>0</v>
      </c>
      <c r="H38" s="268"/>
      <c r="I38" s="269"/>
      <c r="J38" s="269"/>
      <c r="K38" s="269"/>
      <c r="L38" s="270"/>
    </row>
  </sheetData>
  <mergeCells count="7">
    <mergeCell ref="H31:L38"/>
    <mergeCell ref="B10:F10"/>
    <mergeCell ref="B20:F20"/>
    <mergeCell ref="H20:L20"/>
    <mergeCell ref="H21:L28"/>
    <mergeCell ref="B30:F30"/>
    <mergeCell ref="H30:L30"/>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A747-CEA3-482F-82F6-70C1455CB580}">
  <sheetPr>
    <tabColor theme="4" tint="0.79998168889431442"/>
  </sheetPr>
  <dimension ref="B3:P32"/>
  <sheetViews>
    <sheetView workbookViewId="0"/>
  </sheetViews>
  <sheetFormatPr defaultRowHeight="11.5"/>
  <cols>
    <col min="1" max="1" width="3.83203125" style="234" customWidth="1"/>
    <col min="2" max="2" width="22" style="234" customWidth="1"/>
    <col min="3" max="3" width="11.08203125" style="234" bestFit="1" customWidth="1"/>
    <col min="4" max="5" width="9" style="234" bestFit="1" customWidth="1"/>
    <col min="6" max="6" width="12.5" style="234" bestFit="1" customWidth="1"/>
    <col min="7" max="16384" width="8.6640625" style="234"/>
  </cols>
  <sheetData>
    <row r="3" spans="2:16">
      <c r="B3" s="235"/>
      <c r="C3" s="274" t="s">
        <v>1337</v>
      </c>
      <c r="D3" s="275"/>
      <c r="E3" s="274" t="s">
        <v>93</v>
      </c>
      <c r="F3" s="275"/>
      <c r="G3" s="274" t="s">
        <v>1338</v>
      </c>
      <c r="H3" s="275"/>
      <c r="I3" s="274" t="s">
        <v>1339</v>
      </c>
      <c r="J3" s="275"/>
      <c r="K3" s="274" t="s">
        <v>1340</v>
      </c>
      <c r="L3" s="275"/>
      <c r="M3" s="274" t="s">
        <v>1341</v>
      </c>
      <c r="N3" s="275"/>
      <c r="O3" s="274" t="s">
        <v>1342</v>
      </c>
      <c r="P3" s="275"/>
    </row>
    <row r="4" spans="2:16">
      <c r="B4" s="235" t="s">
        <v>673</v>
      </c>
      <c r="C4" s="236" t="s">
        <v>1343</v>
      </c>
      <c r="D4" s="236" t="s">
        <v>1344</v>
      </c>
      <c r="E4" s="236" t="s">
        <v>1343</v>
      </c>
      <c r="F4" s="236" t="s">
        <v>1344</v>
      </c>
      <c r="G4" s="236" t="s">
        <v>1343</v>
      </c>
      <c r="H4" s="236" t="s">
        <v>1344</v>
      </c>
      <c r="I4" s="236" t="s">
        <v>1343</v>
      </c>
      <c r="J4" s="236" t="s">
        <v>1344</v>
      </c>
      <c r="K4" s="236" t="s">
        <v>1343</v>
      </c>
      <c r="L4" s="236" t="s">
        <v>1344</v>
      </c>
      <c r="M4" s="236" t="s">
        <v>1343</v>
      </c>
      <c r="N4" s="236" t="s">
        <v>1344</v>
      </c>
      <c r="O4" s="236" t="s">
        <v>1343</v>
      </c>
      <c r="P4" s="236" t="s">
        <v>1344</v>
      </c>
    </row>
    <row r="5" spans="2:16">
      <c r="B5" s="237" t="s">
        <v>1345</v>
      </c>
      <c r="C5" s="238">
        <v>3</v>
      </c>
      <c r="D5" s="238">
        <v>11</v>
      </c>
      <c r="E5" s="238">
        <v>3</v>
      </c>
      <c r="F5" s="238">
        <v>6</v>
      </c>
      <c r="G5" s="238"/>
      <c r="H5" s="238">
        <v>3</v>
      </c>
      <c r="I5" s="238"/>
      <c r="J5" s="238"/>
      <c r="K5" s="238"/>
      <c r="L5" s="238"/>
      <c r="M5" s="238"/>
      <c r="N5" s="238">
        <v>2</v>
      </c>
      <c r="O5" s="238"/>
      <c r="P5" s="238"/>
    </row>
    <row r="6" spans="2:16">
      <c r="B6" s="237" t="s">
        <v>1346</v>
      </c>
      <c r="C6" s="238">
        <v>2</v>
      </c>
      <c r="D6" s="238">
        <v>12</v>
      </c>
      <c r="E6" s="238">
        <v>2</v>
      </c>
      <c r="F6" s="238">
        <v>7</v>
      </c>
      <c r="G6" s="238"/>
      <c r="H6" s="238"/>
      <c r="I6" s="238"/>
      <c r="J6" s="238">
        <v>4</v>
      </c>
      <c r="K6" s="238"/>
      <c r="L6" s="238"/>
      <c r="M6" s="238"/>
      <c r="N6" s="238">
        <v>1</v>
      </c>
      <c r="O6" s="238"/>
      <c r="P6" s="238"/>
    </row>
    <row r="7" spans="2:16">
      <c r="B7" s="237" t="s">
        <v>1347</v>
      </c>
      <c r="C7" s="238"/>
      <c r="D7" s="238"/>
      <c r="E7" s="238"/>
      <c r="F7" s="238"/>
      <c r="G7" s="238"/>
      <c r="H7" s="238"/>
      <c r="I7" s="238"/>
      <c r="J7" s="238"/>
      <c r="K7" s="238"/>
      <c r="L7" s="238"/>
      <c r="M7" s="238"/>
      <c r="N7" s="238"/>
      <c r="O7" s="238"/>
      <c r="P7" s="238"/>
    </row>
    <row r="8" spans="2:16">
      <c r="B8" s="237" t="s">
        <v>1348</v>
      </c>
      <c r="C8" s="238">
        <v>2</v>
      </c>
      <c r="D8" s="238">
        <v>12</v>
      </c>
      <c r="E8" s="238">
        <v>2</v>
      </c>
      <c r="F8" s="238">
        <v>9</v>
      </c>
      <c r="G8" s="238"/>
      <c r="H8" s="238">
        <v>1</v>
      </c>
      <c r="I8" s="238"/>
      <c r="J8" s="238">
        <v>2</v>
      </c>
      <c r="K8" s="238"/>
      <c r="L8" s="238"/>
      <c r="M8" s="238"/>
      <c r="N8" s="238"/>
      <c r="O8" s="238"/>
      <c r="P8" s="238"/>
    </row>
    <row r="9" spans="2:16">
      <c r="B9" s="237" t="s">
        <v>1349</v>
      </c>
      <c r="C9" s="238">
        <v>1</v>
      </c>
      <c r="D9" s="238">
        <v>4</v>
      </c>
      <c r="E9" s="238">
        <v>1</v>
      </c>
      <c r="F9" s="238">
        <v>4</v>
      </c>
      <c r="G9" s="238"/>
      <c r="H9" s="238"/>
      <c r="I9" s="238"/>
      <c r="J9" s="238"/>
      <c r="K9" s="238"/>
      <c r="L9" s="238"/>
      <c r="M9" s="238"/>
      <c r="N9" s="238"/>
      <c r="O9" s="238"/>
      <c r="P9" s="238"/>
    </row>
    <row r="10" spans="2:16">
      <c r="B10" s="237" t="s">
        <v>1350</v>
      </c>
      <c r="C10" s="238">
        <v>1</v>
      </c>
      <c r="D10" s="238">
        <v>5</v>
      </c>
      <c r="E10" s="238">
        <v>1</v>
      </c>
      <c r="F10" s="238">
        <v>3</v>
      </c>
      <c r="G10" s="238"/>
      <c r="H10" s="238"/>
      <c r="I10" s="238"/>
      <c r="J10" s="238">
        <v>2</v>
      </c>
      <c r="K10" s="238"/>
      <c r="L10" s="238"/>
      <c r="M10" s="238"/>
      <c r="N10" s="238"/>
      <c r="O10" s="238"/>
      <c r="P10" s="238"/>
    </row>
    <row r="11" spans="2:16">
      <c r="B11" s="237" t="s">
        <v>1351</v>
      </c>
      <c r="C11" s="238" t="s">
        <v>1349</v>
      </c>
      <c r="D11" s="238"/>
      <c r="E11" s="238"/>
      <c r="F11" s="238"/>
      <c r="G11" s="238"/>
      <c r="H11" s="238"/>
      <c r="I11" s="238"/>
      <c r="J11" s="238"/>
      <c r="K11" s="238"/>
      <c r="L11" s="238"/>
      <c r="M11" s="238"/>
      <c r="N11" s="238"/>
      <c r="O11" s="238"/>
      <c r="P11" s="238"/>
    </row>
    <row r="12" spans="2:16">
      <c r="B12" s="237" t="s">
        <v>1352</v>
      </c>
      <c r="C12" s="238" t="s">
        <v>1106</v>
      </c>
      <c r="D12" s="238" t="s">
        <v>1106</v>
      </c>
      <c r="E12" s="238"/>
      <c r="F12" s="238"/>
      <c r="G12" s="238"/>
      <c r="H12" s="238"/>
      <c r="I12" s="238"/>
      <c r="J12" s="238"/>
      <c r="K12" s="238"/>
      <c r="L12" s="238"/>
      <c r="M12" s="238"/>
      <c r="N12" s="238"/>
      <c r="O12" s="238"/>
      <c r="P12" s="238"/>
    </row>
    <row r="13" spans="2:16">
      <c r="B13" s="237" t="s">
        <v>1353</v>
      </c>
      <c r="C13" s="238"/>
      <c r="D13" s="238"/>
      <c r="E13" s="238">
        <v>1</v>
      </c>
      <c r="F13" s="238">
        <v>3</v>
      </c>
      <c r="G13" s="238"/>
      <c r="H13" s="238"/>
      <c r="I13" s="238"/>
      <c r="J13" s="238">
        <v>1</v>
      </c>
      <c r="K13" s="238"/>
      <c r="L13" s="238"/>
      <c r="M13" s="238"/>
      <c r="N13" s="238"/>
      <c r="O13" s="238"/>
      <c r="P13" s="238"/>
    </row>
    <row r="14" spans="2:16">
      <c r="B14" s="237" t="s">
        <v>1354</v>
      </c>
      <c r="C14" s="238"/>
      <c r="D14" s="238"/>
      <c r="E14" s="238"/>
      <c r="F14" s="238"/>
      <c r="G14" s="238"/>
      <c r="H14" s="238"/>
      <c r="I14" s="238"/>
      <c r="J14" s="238"/>
      <c r="K14" s="238"/>
      <c r="L14" s="238"/>
      <c r="M14" s="238"/>
      <c r="N14" s="238"/>
      <c r="O14" s="238"/>
      <c r="P14" s="238"/>
    </row>
    <row r="15" spans="2:16" ht="23">
      <c r="B15" s="237" t="s">
        <v>1355</v>
      </c>
      <c r="C15" s="238"/>
      <c r="D15" s="238">
        <v>5</v>
      </c>
      <c r="E15" s="238"/>
      <c r="F15" s="239" t="s">
        <v>1444</v>
      </c>
      <c r="G15" s="238"/>
      <c r="H15" s="238"/>
      <c r="I15" s="238"/>
      <c r="J15" s="238"/>
      <c r="K15" s="238"/>
      <c r="L15" s="238"/>
      <c r="M15" s="238"/>
      <c r="N15" s="238"/>
      <c r="O15" s="238"/>
      <c r="P15" s="238"/>
    </row>
    <row r="16" spans="2:16">
      <c r="B16" s="237" t="s">
        <v>1356</v>
      </c>
      <c r="C16" s="238"/>
      <c r="D16" s="238"/>
      <c r="E16" s="238"/>
      <c r="F16" s="238"/>
      <c r="G16" s="238"/>
      <c r="H16" s="238"/>
      <c r="I16" s="238"/>
      <c r="J16" s="238"/>
      <c r="K16" s="238"/>
      <c r="L16" s="238">
        <v>2</v>
      </c>
      <c r="M16" s="238"/>
      <c r="N16" s="238"/>
      <c r="O16" s="238"/>
      <c r="P16" s="238"/>
    </row>
    <row r="19" spans="2:8">
      <c r="B19" s="276" t="s">
        <v>1357</v>
      </c>
      <c r="C19" s="277"/>
      <c r="D19" s="277"/>
      <c r="E19" s="277"/>
      <c r="F19" s="277"/>
      <c r="G19" s="277"/>
      <c r="H19" s="277"/>
    </row>
    <row r="20" spans="2:8" ht="12">
      <c r="B20" s="240" t="s">
        <v>673</v>
      </c>
      <c r="C20" s="241" t="s">
        <v>1358</v>
      </c>
      <c r="D20" s="241" t="s">
        <v>1359</v>
      </c>
      <c r="E20" s="241" t="s">
        <v>1360</v>
      </c>
      <c r="F20" s="241" t="s">
        <v>1361</v>
      </c>
      <c r="G20" s="241" t="s">
        <v>1362</v>
      </c>
      <c r="H20" s="241" t="s">
        <v>1363</v>
      </c>
    </row>
    <row r="21" spans="2:8" ht="34.5">
      <c r="B21" s="237" t="s">
        <v>1349</v>
      </c>
      <c r="C21" s="239" t="s">
        <v>1445</v>
      </c>
      <c r="D21" s="238" t="s">
        <v>1446</v>
      </c>
      <c r="E21" s="239" t="s">
        <v>1447</v>
      </c>
      <c r="F21" s="238" t="s">
        <v>1349</v>
      </c>
      <c r="G21" s="238" t="s">
        <v>1448</v>
      </c>
      <c r="H21" s="238" t="s">
        <v>1449</v>
      </c>
    </row>
    <row r="22" spans="2:8" ht="34.5">
      <c r="B22" s="237" t="s">
        <v>1351</v>
      </c>
      <c r="C22" s="239" t="s">
        <v>1445</v>
      </c>
      <c r="D22" s="238" t="s">
        <v>1446</v>
      </c>
      <c r="E22" s="239" t="s">
        <v>1447</v>
      </c>
      <c r="F22" s="238" t="s">
        <v>1349</v>
      </c>
      <c r="G22" s="238" t="s">
        <v>1450</v>
      </c>
      <c r="H22" s="238" t="s">
        <v>1449</v>
      </c>
    </row>
    <row r="23" spans="2:8" ht="23">
      <c r="B23" s="237" t="s">
        <v>1364</v>
      </c>
      <c r="C23" s="238" t="s">
        <v>1451</v>
      </c>
      <c r="D23" s="239" t="s">
        <v>1452</v>
      </c>
      <c r="E23" s="238" t="s">
        <v>1453</v>
      </c>
      <c r="F23" s="238" t="s">
        <v>1454</v>
      </c>
      <c r="G23" s="238" t="s">
        <v>1455</v>
      </c>
      <c r="H23" s="238" t="s">
        <v>1106</v>
      </c>
    </row>
    <row r="24" spans="2:8" ht="23">
      <c r="B24" s="237" t="s">
        <v>1346</v>
      </c>
      <c r="C24" s="239" t="s">
        <v>1456</v>
      </c>
      <c r="D24" s="239" t="s">
        <v>1452</v>
      </c>
      <c r="E24" s="238" t="s">
        <v>1453</v>
      </c>
      <c r="F24" s="238" t="s">
        <v>1457</v>
      </c>
      <c r="G24" s="238" t="s">
        <v>1458</v>
      </c>
      <c r="H24" s="238" t="s">
        <v>1459</v>
      </c>
    </row>
    <row r="25" spans="2:8" ht="57.5">
      <c r="B25" s="237" t="s">
        <v>1365</v>
      </c>
      <c r="C25" s="239" t="s">
        <v>1460</v>
      </c>
      <c r="D25" s="239" t="s">
        <v>1461</v>
      </c>
      <c r="E25" s="239" t="s">
        <v>1462</v>
      </c>
      <c r="F25" s="238" t="s">
        <v>1365</v>
      </c>
      <c r="G25" s="238"/>
      <c r="H25" s="238" t="s">
        <v>1463</v>
      </c>
    </row>
    <row r="26" spans="2:8">
      <c r="B26" s="237" t="s">
        <v>1366</v>
      </c>
      <c r="C26" s="238" t="s">
        <v>1464</v>
      </c>
      <c r="D26" s="238" t="s">
        <v>1465</v>
      </c>
      <c r="E26" s="238" t="s">
        <v>1466</v>
      </c>
      <c r="F26" s="238" t="s">
        <v>1467</v>
      </c>
      <c r="G26" s="238"/>
      <c r="H26" s="238" t="s">
        <v>1459</v>
      </c>
    </row>
    <row r="27" spans="2:8">
      <c r="B27" s="237" t="s">
        <v>1367</v>
      </c>
      <c r="C27" s="238" t="s">
        <v>1468</v>
      </c>
      <c r="D27" s="238" t="s">
        <v>1465</v>
      </c>
      <c r="E27" s="238" t="s">
        <v>1469</v>
      </c>
      <c r="F27" s="238" t="s">
        <v>1467</v>
      </c>
      <c r="G27" s="238"/>
      <c r="H27" s="238" t="s">
        <v>1459</v>
      </c>
    </row>
    <row r="28" spans="2:8" ht="23">
      <c r="B28" s="237" t="s">
        <v>1350</v>
      </c>
      <c r="C28" s="238" t="s">
        <v>1470</v>
      </c>
      <c r="D28" s="238" t="s">
        <v>1471</v>
      </c>
      <c r="E28" s="238" t="s">
        <v>1453</v>
      </c>
      <c r="F28" s="239" t="s">
        <v>1472</v>
      </c>
      <c r="G28" s="238"/>
      <c r="H28" s="238" t="s">
        <v>1459</v>
      </c>
    </row>
    <row r="29" spans="2:8" ht="23">
      <c r="B29" s="237" t="s">
        <v>1368</v>
      </c>
      <c r="C29" s="239" t="s">
        <v>1473</v>
      </c>
      <c r="D29" s="238" t="s">
        <v>1474</v>
      </c>
      <c r="E29" s="238" t="s">
        <v>1453</v>
      </c>
      <c r="F29" s="238" t="s">
        <v>1475</v>
      </c>
      <c r="G29" s="238"/>
      <c r="H29" s="238" t="s">
        <v>1459</v>
      </c>
    </row>
    <row r="30" spans="2:8" ht="57.5">
      <c r="B30" s="237" t="s">
        <v>1345</v>
      </c>
      <c r="C30" s="239" t="s">
        <v>1476</v>
      </c>
      <c r="D30" s="239" t="s">
        <v>1461</v>
      </c>
      <c r="E30" s="239" t="s">
        <v>1462</v>
      </c>
      <c r="F30" s="239" t="s">
        <v>1477</v>
      </c>
      <c r="G30" s="238"/>
      <c r="H30" s="238" t="s">
        <v>1463</v>
      </c>
    </row>
    <row r="31" spans="2:8">
      <c r="B31" s="237" t="s">
        <v>1354</v>
      </c>
      <c r="C31" s="238" t="s">
        <v>1478</v>
      </c>
      <c r="D31" s="238" t="s">
        <v>1479</v>
      </c>
      <c r="E31" s="238" t="s">
        <v>1480</v>
      </c>
      <c r="F31" s="238" t="s">
        <v>1481</v>
      </c>
      <c r="G31" s="238" t="s">
        <v>1482</v>
      </c>
      <c r="H31" s="238" t="s">
        <v>1483</v>
      </c>
    </row>
    <row r="32" spans="2:8">
      <c r="B32" s="237" t="s">
        <v>1369</v>
      </c>
      <c r="C32" s="238"/>
      <c r="D32" s="238"/>
      <c r="E32" s="238"/>
      <c r="F32" s="238"/>
      <c r="G32" s="238"/>
      <c r="H32" s="238" t="s">
        <v>1459</v>
      </c>
    </row>
  </sheetData>
  <mergeCells count="8">
    <mergeCell ref="O3:P3"/>
    <mergeCell ref="B19:H19"/>
    <mergeCell ref="C3:D3"/>
    <mergeCell ref="E3:F3"/>
    <mergeCell ref="G3:H3"/>
    <mergeCell ref="I3:J3"/>
    <mergeCell ref="K3:L3"/>
    <mergeCell ref="M3:N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919E3-CDCF-4A5C-B353-716BD2FB366B}">
  <sheetPr>
    <tabColor theme="4" tint="0.79998168889431442"/>
  </sheetPr>
  <dimension ref="B2:G13"/>
  <sheetViews>
    <sheetView showGridLines="0" zoomScale="80" zoomScaleNormal="80" workbookViewId="0"/>
  </sheetViews>
  <sheetFormatPr defaultColWidth="9" defaultRowHeight="12.5"/>
  <cols>
    <col min="1" max="1" width="9" style="288"/>
    <col min="2" max="2" width="22.08203125" style="288" bestFit="1" customWidth="1"/>
    <col min="3" max="4" width="9" style="288"/>
    <col min="5" max="5" width="10.08203125" style="288" bestFit="1" customWidth="1"/>
    <col min="6" max="6" width="1.58203125" style="288" customWidth="1"/>
    <col min="7" max="16384" width="9" style="288"/>
  </cols>
  <sheetData>
    <row r="2" spans="2:7" ht="13.5" thickBot="1">
      <c r="B2" s="286" t="s">
        <v>1492</v>
      </c>
      <c r="C2" s="287" t="s">
        <v>1493</v>
      </c>
      <c r="D2" s="287" t="s">
        <v>1494</v>
      </c>
      <c r="E2" s="287" t="s">
        <v>1495</v>
      </c>
    </row>
    <row r="3" spans="2:7" ht="13">
      <c r="B3" s="288" t="s">
        <v>1496</v>
      </c>
      <c r="C3" s="289"/>
      <c r="D3" s="289"/>
      <c r="E3" s="290">
        <v>100.06647825</v>
      </c>
      <c r="G3" s="291" t="s">
        <v>1497</v>
      </c>
    </row>
    <row r="4" spans="2:7">
      <c r="B4" s="288" t="s">
        <v>1498</v>
      </c>
      <c r="C4" s="289"/>
      <c r="D4" s="289"/>
      <c r="E4" s="290">
        <v>566.799848</v>
      </c>
    </row>
    <row r="5" spans="2:7">
      <c r="B5" s="288" t="s">
        <v>1499</v>
      </c>
      <c r="C5" s="289"/>
      <c r="D5" s="289"/>
      <c r="E5" s="290">
        <v>1016.5990919999997</v>
      </c>
    </row>
    <row r="6" spans="2:7">
      <c r="B6" s="288" t="s">
        <v>681</v>
      </c>
      <c r="C6" s="289"/>
      <c r="D6" s="289"/>
      <c r="E6" s="290">
        <v>534.01997199999994</v>
      </c>
    </row>
    <row r="7" spans="2:7">
      <c r="B7" s="288" t="s">
        <v>1500</v>
      </c>
      <c r="C7" s="289"/>
      <c r="D7" s="289"/>
      <c r="E7" s="290">
        <v>335.50876</v>
      </c>
    </row>
    <row r="8" spans="2:7">
      <c r="B8" s="288" t="s">
        <v>1501</v>
      </c>
      <c r="C8" s="289"/>
      <c r="D8" s="289"/>
      <c r="E8" s="290">
        <v>9.1586197500009803</v>
      </c>
    </row>
    <row r="9" spans="2:7" ht="2.25" customHeight="1">
      <c r="B9" s="292"/>
      <c r="C9" s="292"/>
      <c r="D9" s="292"/>
      <c r="E9" s="292"/>
    </row>
    <row r="10" spans="2:7" s="295" customFormat="1" ht="13.5" thickBot="1">
      <c r="B10" s="293" t="s">
        <v>1502</v>
      </c>
      <c r="C10" s="294">
        <v>0</v>
      </c>
      <c r="D10" s="294">
        <v>0</v>
      </c>
      <c r="E10" s="294">
        <f>SUM(E3:E9)</f>
        <v>2562.1527700000011</v>
      </c>
    </row>
    <row r="12" spans="2:7">
      <c r="B12" s="288" t="s">
        <v>1503</v>
      </c>
      <c r="C12" s="290">
        <v>1954.6048899999998</v>
      </c>
      <c r="D12" s="290">
        <v>2525.4043799999999</v>
      </c>
      <c r="E12" s="290">
        <v>2562.1527700000011</v>
      </c>
    </row>
    <row r="13" spans="2:7">
      <c r="B13" s="288" t="s">
        <v>1504</v>
      </c>
      <c r="C13" s="290">
        <f t="shared" ref="C13:D13" si="0">C10-C12</f>
        <v>-1954.6048899999998</v>
      </c>
      <c r="D13" s="290">
        <f t="shared" si="0"/>
        <v>-2525.4043799999999</v>
      </c>
      <c r="E13" s="290">
        <f>E10-E12</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vt:lpstr>
      <vt:lpstr>Business (Novo)</vt:lpstr>
      <vt:lpstr>Legal (Linklaters - Novo)</vt:lpstr>
      <vt:lpstr>Legal (WSGR - Novo)</vt:lpstr>
      <vt:lpstr>Insurance (Lockton - Novo)</vt:lpstr>
      <vt:lpstr>Benefits (Lockton - Novo)</vt:lpstr>
      <vt:lpstr>Financial (A&amp;M)</vt:lpstr>
      <vt:lpstr>Technology (Crosslake - Novo)</vt:lpstr>
      <vt:lpstr>Tax (A&amp;M)</vt:lpstr>
      <vt:lpstr>Avalara Detail (Tax 25)</vt:lpstr>
      <vt:lpstr>Commercial (PwC - Novo)</vt:lpstr>
      <vt:lpstr>Operational (A&amp;M)</vt:lpstr>
      <vt:lpstr>Legal (Goodwin)</vt:lpstr>
      <vt:lpstr>Management to Populate &gt;&gt;</vt:lpstr>
      <vt:lpstr>Benefit Census Sheet (Lockton)</vt:lpstr>
      <vt:lpstr>CARR by Customer Tenure (DNE)</vt:lpstr>
      <vt:lpstr>Software Development &amp; Tools</vt:lpstr>
      <vt:lpstr>Systems Security and Infra</vt:lpstr>
      <vt:lpstr>R&amp;D Spend (DNE)</vt:lpstr>
      <vt:lpstr>Product Wise Breakdown</vt:lpstr>
      <vt:lpstr>Annual bonus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Zipoli, Alli</dc:creator>
  <cp:keywords/>
  <dc:description/>
  <cp:lastModifiedBy>Zipoli, Alli</cp:lastModifiedBy>
  <cp:revision/>
  <dcterms:created xsi:type="dcterms:W3CDTF">2026-01-20T05:10:36Z</dcterms:created>
  <dcterms:modified xsi:type="dcterms:W3CDTF">2026-03-27T23:56:46Z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{89C21388-B4F2-437C-9BC7-DDFA01125048}</vt:lpwstr>
  </property>
</Properties>
</file>